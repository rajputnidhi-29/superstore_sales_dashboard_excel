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sus\OneDrive\Desktop\"/>
    </mc:Choice>
  </mc:AlternateContent>
  <xr:revisionPtr revIDLastSave="0" documentId="13_ncr:1_{3F07CCAA-1733-448B-8D16-B4BEF250BDD2}" xr6:coauthVersionLast="47" xr6:coauthVersionMax="47" xr10:uidLastSave="{00000000-0000-0000-0000-000000000000}"/>
  <bookViews>
    <workbookView xWindow="-108" yWindow="-108" windowWidth="23256" windowHeight="13896" xr2:uid="{9B322C98-85F2-45E0-B046-806189E2A917}"/>
  </bookViews>
  <sheets>
    <sheet name="Dashboard" sheetId="51" r:id="rId1"/>
    <sheet name="Dataset" sheetId="2" r:id="rId2"/>
    <sheet name="Analysis" sheetId="50" r:id="rId3"/>
  </sheets>
  <definedNames>
    <definedName name="Slicer_Category">#N/A</definedName>
    <definedName name="Slicer_Region">#N/A</definedName>
    <definedName name="Table">Dataset!$A$5:$M$103</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50" l="1"/>
  <c r="D2" i="50"/>
  <c r="F2" i="50"/>
</calcChain>
</file>

<file path=xl/sharedStrings.xml><?xml version="1.0" encoding="utf-8"?>
<sst xmlns="http://schemas.openxmlformats.org/spreadsheetml/2006/main" count="829" uniqueCount="103">
  <si>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</si>
  <si>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</si>
  <si>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</si>
  <si>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</si>
  <si>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</si>
  <si>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</si>
  <si>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</si>
  <si>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</si>
  <si>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</si>
  <si>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</si>
  <si>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</si>
  <si>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</si>
  <si>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</si>
  <si>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</si>
  <si>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</si>
  <si>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</si>
  <si>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</si>
  <si>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</si>
  <si>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</si>
  <si>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</si>
  <si>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</si>
  <si>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</si>
  <si>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</si>
  <si>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</si>
  <si>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</si>
  <si>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</si>
  <si>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</si>
  <si>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</si>
  <si>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</si>
  <si>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</si>
  <si>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</si>
  <si>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</si>
  <si>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</si>
  <si>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</si>
  <si>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</si>
  <si>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</si>
  <si>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</si>
  <si>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</si>
  <si>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</si>
  <si>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</si>
  <si>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</si>
  <si>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</si>
  <si>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</si>
  <si>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</si>
  <si>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</si>
  <si>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</si>
  <si>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</si>
  <si>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</si>
  <si>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</si>
  <si>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</si>
  <si>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</si>
  <si>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</si>
  <si>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</si>
  <si>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</si>
  <si>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</si>
  <si>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</si>
  <si>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</si>
  <si>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</si>
  <si>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</si>
  <si>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</si>
  <si>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</si>
  <si>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</si>
  <si>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</si>
  <si>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</si>
  <si>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</si>
  <si>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</si>
  <si>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</si>
  <si>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</si>
  <si>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</si>
  <si>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</si>
  <si>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</si>
  <si>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</si>
  <si>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</si>
  <si>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</si>
  <si>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</si>
  <si>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</si>
  <si>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</si>
  <si>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</si>
  <si>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</si>
  <si>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</si>
  <si>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</si>
  <si>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</si>
  <si>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</si>
  <si>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</si>
  <si>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</si>
  <si>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</si>
  <si>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</si>
  <si>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</si>
  <si>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</si>
  <si>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</si>
  <si>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</si>
  <si>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</si>
  <si>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</si>
  <si>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</si>
  <si>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</si>
  <si>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</si>
  <si>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Row Labels</t>
  </si>
  <si>
    <t>Grand Total</t>
  </si>
  <si>
    <t>Sum of Sales</t>
  </si>
  <si>
    <t>Sum of Profit</t>
  </si>
  <si>
    <t>Count of Quantity</t>
  </si>
  <si>
    <t>Raw Superstore Sales Data Used for Analysis</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</si>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</sst>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
    <numFmt numFmtId="167" formatCode="_(&quot;$&quot;* #,##0.0_);_(&quot;$&quot;* \(#,##0.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9" tint="0.39997558519241921"/>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xf>
    <xf numFmtId="10" fontId="0" fillId="0" borderId="0" xfId="0" applyNumberFormat="1"/>
    <xf numFmtId="167" fontId="0" fillId="0" borderId="0" xfId="0" applyNumberFormat="1"/>
    <xf numFmtId="0" fontId="0" fillId="0" borderId="16" xfId="0" applyBorder="1"/>
    <xf numFmtId="164" fontId="0" fillId="0" borderId="16" xfId="0" applyNumberFormat="1" applyBorder="1"/>
    <xf numFmtId="0" fontId="18" fillId="33" borderId="10" xfId="0" applyFont="1" applyFill="1" applyBorder="1" applyAlignment="1">
      <alignment horizontal="center" vertical="center"/>
    </xf>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3" xfId="0" applyFill="1" applyBorder="1" applyAlignment="1">
      <alignment horizontal="center" vertical="center"/>
    </xf>
    <xf numFmtId="0" fontId="0" fillId="33" borderId="14" xfId="0" applyFill="1" applyBorder="1" applyAlignment="1">
      <alignment horizontal="center" vertical="center"/>
    </xf>
    <xf numFmtId="0" fontId="0" fillId="33" borderId="15" xfId="0" applyFill="1" applyBorder="1" applyAlignment="1">
      <alignment horizontal="center" vertical="center"/>
    </xf>
    <xf numFmtId="0" fontId="16" fillId="34" borderId="0" xfId="0" applyFont="1" applyFill="1" applyAlignment="1">
      <alignment horizontal="center"/>
    </xf>
    <xf numFmtId="0" fontId="0" fillId="34" borderId="0" xfId="0" applyFill="1" applyAlignment="1">
      <alignment horizontal="center"/>
    </xf>
    <xf numFmtId="0" fontId="0" fillId="0" borderId="0" xfId="0" applyNumberFormat="1"/>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2">
    <dxf>
      <numFmt numFmtId="165" formatCode="0.0"/>
    </dxf>
    <dxf>
      <numFmt numFmtId="34" formatCode="_(&quot;$&quot;* #,##0.00_);_(&quot;$&quot;* \(#,##0.00\);_(&quot;$&quot;* &quot;-&quot;??_);_(@_)"/>
    </dxf>
    <dxf>
      <numFmt numFmtId="165" formatCode="0.0"/>
    </dxf>
    <dxf>
      <numFmt numFmtId="2" formatCode="0.00"/>
    </dxf>
    <dxf>
      <numFmt numFmtId="34" formatCode="_(&quot;$&quot;* #,##0.00_);_(&quot;$&quot;* \(#,##0.00\);_(&quot;$&quot;* &quot;-&quot;??_);_(@_)"/>
    </dxf>
    <dxf>
      <numFmt numFmtId="166" formatCode="0.0%"/>
    </dxf>
    <dxf>
      <numFmt numFmtId="0" formatCode="General"/>
    </dxf>
    <dxf>
      <numFmt numFmtId="2" formatCode="0.00"/>
    </dxf>
    <dxf>
      <numFmt numFmtId="168" formatCode="0.000"/>
    </dxf>
    <dxf>
      <numFmt numFmtId="166" formatCode="0.0%"/>
    </dxf>
    <dxf>
      <numFmt numFmtId="0" formatCode="General"/>
    </dxf>
    <dxf>
      <numFmt numFmtId="168" formatCode="0.000"/>
    </dxf>
    <dxf>
      <numFmt numFmtId="165" formatCode="0.0"/>
    </dxf>
    <dxf>
      <numFmt numFmtId="165" formatCode="0.0"/>
    </dxf>
    <dxf>
      <numFmt numFmtId="166" formatCode="0.0%"/>
    </dxf>
    <dxf>
      <numFmt numFmtId="0" formatCode="General"/>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4" formatCode="&quot;$&quot;#,##0.00"/>
    </dxf>
    <dxf>
      <numFmt numFmtId="165" formatCode="0.0"/>
    </dxf>
    <dxf>
      <numFmt numFmtId="165" formatCode="0.0"/>
    </dxf>
    <dxf>
      <numFmt numFmtId="14" formatCode="0.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4" formatCode="&quot;$&quot;#,##0.00"/>
    </dxf>
    <dxf>
      <numFmt numFmtId="165" formatCode="0.0"/>
    </dxf>
    <dxf>
      <numFmt numFmtId="165" formatCode="0.0"/>
    </dxf>
    <dxf>
      <numFmt numFmtId="14" formatCode="0.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4" formatCode="&quot;$&quot;#,##0.00"/>
    </dxf>
    <dxf>
      <numFmt numFmtId="165" formatCode="0.0"/>
    </dxf>
    <dxf>
      <numFmt numFmtId="165" formatCode="0.0"/>
    </dxf>
    <dxf>
      <numFmt numFmtId="14" formatCode="0.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4" formatCode="&quot;$&quot;#,##0.00"/>
    </dxf>
    <dxf>
      <numFmt numFmtId="165" formatCode="0.0"/>
    </dxf>
    <dxf>
      <numFmt numFmtId="165" formatCode="0.0"/>
    </dxf>
    <dxf>
      <numFmt numFmtId="14" formatCode="0.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4" formatCode="&quot;$&quot;#,##0.00"/>
    </dxf>
    <dxf>
      <numFmt numFmtId="165" formatCode="0.0"/>
    </dxf>
    <dxf>
      <numFmt numFmtId="165" formatCode="0.0"/>
    </dxf>
    <dxf>
      <numFmt numFmtId="14" formatCode="0.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4" formatCode="&quot;$&quot;#,##0.00"/>
    </dxf>
    <dxf>
      <numFmt numFmtId="165" formatCode="0.0"/>
    </dxf>
    <dxf>
      <numFmt numFmtId="165" formatCode="0.0"/>
    </dxf>
    <dxf>
      <numFmt numFmtId="14" formatCode="0.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4" formatCode="&quot;$&quot;#,##0.00"/>
    </dxf>
    <dxf>
      <numFmt numFmtId="165" formatCode="0.0"/>
    </dxf>
    <dxf>
      <numFmt numFmtId="165" formatCode="0.0"/>
    </dxf>
    <dxf>
      <numFmt numFmtId="14" formatCode="0.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4" formatCode="&quot;$&quot;#,##0.00"/>
    </dxf>
    <dxf>
      <numFmt numFmtId="165" formatCode="0.0"/>
    </dxf>
    <dxf>
      <numFmt numFmtId="165" formatCode="0.0"/>
    </dxf>
    <dxf>
      <numFmt numFmtId="14" formatCode="0.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66" formatCode="0.0%"/>
    </dxf>
    <dxf>
      <numFmt numFmtId="0" formatCode="General"/>
    </dxf>
    <dxf>
      <numFmt numFmtId="164" formatCode="&quot;$&quot;#,##0.00"/>
    </dxf>
    <dxf>
      <numFmt numFmtId="165" formatCode="0.0"/>
    </dxf>
    <dxf>
      <numFmt numFmtId="0" formatCode="General"/>
    </dxf>
    <dxf>
      <numFmt numFmtId="164" formatCode="&quot;$&quot;#,##0.00"/>
    </dxf>
    <dxf>
      <numFmt numFmtId="0" formatCode="General"/>
    </dxf>
    <dxf>
      <numFmt numFmtId="165" formatCode="0.0"/>
    </dxf>
    <dxf>
      <numFmt numFmtId="164" formatCode="&quot;$&quot;#,##0.00"/>
    </dxf>
    <dxf>
      <numFmt numFmtId="165" formatCode="0.0"/>
    </dxf>
    <dxf>
      <numFmt numFmtId="14" formatCode="0.00%"/>
    </dxf>
    <dxf>
      <numFmt numFmtId="165" formatCode="0.0"/>
    </dxf>
    <dxf>
      <numFmt numFmtId="14" formatCode="0.00%"/>
    </dxf>
    <dxf>
      <numFmt numFmtId="164" formatCode="&quot;$&quot;#,##0.00"/>
    </dxf>
    <dxf>
      <numFmt numFmtId="165" formatCode="0.0"/>
    </dxf>
    <dxf>
      <numFmt numFmtId="166" formatCode="0.0%"/>
    </dxf>
    <dxf>
      <numFmt numFmtId="0" formatCode="General"/>
    </dxf>
    <dxf>
      <numFmt numFmtId="165" formatCode="0.0"/>
    </dxf>
    <dxf>
      <numFmt numFmtId="14" formatCode="0.00%"/>
    </dxf>
    <dxf>
      <numFmt numFmtId="0" formatCode="General"/>
    </dxf>
    <dxf>
      <numFmt numFmtId="165" formatCode="0.0"/>
    </dxf>
    <dxf>
      <numFmt numFmtId="164" formatCode="&quot;$&quot;#,##0.00"/>
    </dxf>
    <dxf>
      <numFmt numFmtId="165" formatCode="0.0"/>
    </dxf>
    <dxf>
      <numFmt numFmtId="14" formatCode="0.00%"/>
    </dxf>
    <dxf>
      <numFmt numFmtId="165" formatCode="0.0"/>
    </dxf>
    <dxf>
      <numFmt numFmtId="14" formatCode="0.00%"/>
    </dxf>
    <dxf>
      <numFmt numFmtId="164" formatCode="&quot;$&quot;#,##0.00"/>
    </dxf>
    <dxf>
      <numFmt numFmtId="165" formatCode="0.0"/>
    </dxf>
    <dxf>
      <numFmt numFmtId="166" formatCode="0.0%"/>
    </dxf>
    <dxf>
      <numFmt numFmtId="0" formatCode="General"/>
    </dxf>
    <dxf>
      <numFmt numFmtId="165" formatCode="0.0"/>
    </dxf>
    <dxf>
      <numFmt numFmtId="14" formatCode="0.00%"/>
    </dxf>
    <dxf>
      <numFmt numFmtId="14" formatCode="0.00%"/>
    </dxf>
    <dxf>
      <numFmt numFmtId="0" formatCode="General"/>
    </dxf>
    <dxf>
      <numFmt numFmtId="165" formatCode="0.0"/>
    </dxf>
    <dxf>
      <numFmt numFmtId="14" formatCode="0.00%"/>
    </dxf>
    <dxf>
      <numFmt numFmtId="166" formatCode="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6" formatCode="0.0%"/>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6" formatCode="0.0%"/>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6" formatCode="0.0%"/>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4" formatCode="&quot;$&quot;#,##0.00"/>
    </dxf>
    <dxf>
      <numFmt numFmtId="165" formatCode="0.0"/>
    </dxf>
    <dxf>
      <numFmt numFmtId="165" formatCode="0.0"/>
    </dxf>
    <dxf>
      <numFmt numFmtId="14" formatCode="0.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4" formatCode="&quot;$&quot;#,##0.00"/>
    </dxf>
    <dxf>
      <numFmt numFmtId="165" formatCode="0.0"/>
    </dxf>
    <dxf>
      <numFmt numFmtId="165" formatCode="0.0"/>
    </dxf>
    <dxf>
      <numFmt numFmtId="14" formatCode="0.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6" formatCode="0.0%"/>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6" formatCode="0.0%"/>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4" formatCode="&quot;$&quot;#,##0.00"/>
    </dxf>
    <dxf>
      <numFmt numFmtId="165" formatCode="0.0"/>
    </dxf>
    <dxf>
      <numFmt numFmtId="165" formatCode="0.0"/>
    </dxf>
    <dxf>
      <numFmt numFmtId="14" formatCode="0.00%"/>
    </dxf>
    <dxf>
      <numFmt numFmtId="0" formatCode="General"/>
    </dxf>
    <dxf>
      <numFmt numFmtId="164" formatCode="&quot;$&quot;#,##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6" formatCode="0.0%"/>
    </dxf>
    <dxf>
      <numFmt numFmtId="164" formatCode="&quot;$&quot;#,##0.00"/>
    </dxf>
    <dxf>
      <numFmt numFmtId="165" formatCode="0.0"/>
    </dxf>
    <dxf>
      <numFmt numFmtId="0" formatCode="General"/>
    </dxf>
    <dxf>
      <numFmt numFmtId="164" formatCode="&quot;$&quot;#,##0.00"/>
    </dxf>
    <dxf>
      <numFmt numFmtId="165" formatCode="0.0"/>
    </dxf>
    <dxf>
      <numFmt numFmtId="14" formatCode="0.00%"/>
    </dxf>
    <dxf>
      <numFmt numFmtId="164" formatCode="&quot;$&quot;#,##0.00"/>
    </dxf>
    <dxf>
      <numFmt numFmtId="165" formatCode="0.0"/>
    </dxf>
    <dxf>
      <numFmt numFmtId="165" formatCode="0.0"/>
    </dxf>
    <dxf>
      <numFmt numFmtId="14" formatCode="0.00%"/>
    </dxf>
    <dxf>
      <numFmt numFmtId="0" formatCode="General"/>
    </dxf>
    <dxf>
      <numFmt numFmtId="164" formatCode="&quot;$&quot;#,##0.00"/>
    </dxf>
    <dxf>
      <numFmt numFmtId="165" formatCode="0.0"/>
    </dxf>
    <dxf>
      <numFmt numFmtId="14" formatCode="0.00%"/>
    </dxf>
    <dxf>
      <numFmt numFmtId="14" formatCode="0.00%"/>
    </dxf>
    <dxf>
      <numFmt numFmtId="165" formatCode="0.0"/>
    </dxf>
    <dxf>
      <numFmt numFmtId="166" formatCode="0.0%"/>
    </dxf>
    <dxf>
      <numFmt numFmtId="164" formatCode="&quot;$&quot;#,##0.00"/>
    </dxf>
    <dxf>
      <numFmt numFmtId="14" formatCode="0.00%"/>
    </dxf>
    <dxf>
      <numFmt numFmtId="165" formatCode="0.0"/>
    </dxf>
    <dxf>
      <numFmt numFmtId="14" formatCode="0.00%"/>
    </dxf>
    <dxf>
      <numFmt numFmtId="165" formatCode="0.0"/>
    </dxf>
    <dxf>
      <numFmt numFmtId="164" formatCode="&quot;$&quot;#,##0.00"/>
    </dxf>
    <dxf>
      <numFmt numFmtId="0" formatCode="Genera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bgColor rgb="FF2563EB"/>
        </patternFill>
      </fill>
    </dxf>
  </dxfs>
  <tableStyles count="2" defaultTableStyle="TableStyleMedium2" defaultPivotStyle="PivotStyleLight16">
    <tableStyle name="Slicer Style 1" pivot="0" table="0" count="2" xr9:uid="{4AD842CD-AEC9-4EB5-966B-8B5A619796AC}">
      <tableStyleElement type="headerRow" dxfId="491"/>
    </tableStyle>
    <tableStyle name="SlicerStyleLight1 2" pivot="0" table="0" count="10" xr9:uid="{AA967016-4433-419D-9596-7E6B206657BD}">
      <tableStyleElement type="wholeTable" dxfId="490"/>
      <tableStyleElement type="headerRow" dxfId="489"/>
    </tableStyle>
  </tableStyles>
  <colors>
    <mruColors>
      <color rgb="FF2563EB"/>
      <color rgb="FFEF4444"/>
      <color rgb="FF3B82F6"/>
      <color rgb="FF3BA2F6"/>
      <color rgb="FFBFDBFE"/>
      <color rgb="FF60A5FA"/>
      <color rgb="FF1D4ED8"/>
      <color rgb="FFCCECFF"/>
      <color rgb="FF93C5FD"/>
      <color rgb="FFF8FAFC"/>
    </mruColors>
  </colors>
  <extLst>
    <ext xmlns:x14="http://schemas.microsoft.com/office/spreadsheetml/2009/9/main" uri="{46F421CA-312F-682f-3DD2-61675219B42D}">
      <x14:dxfs count="9">
        <dxf>
          <font>
            <color rgb="FF000000"/>
          </font>
          <fill>
            <patternFill patternType="solid">
              <fgColor auto="1"/>
              <bgColor theme="6"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8" tint="0.5999633777886288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8"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3B82F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[Superstore_Sales_Dashboard.xlsx]Analysis!Top City</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accent1">
                    <a:lumMod val="50000"/>
                  </a:schemeClr>
                </a:solidFill>
              </a:rPr>
              <a:t>Top</a:t>
            </a:r>
            <a:r>
              <a:rPr lang="en-US" sz="1400" baseline="0">
                <a:solidFill>
                  <a:schemeClr val="accent1">
                    <a:lumMod val="50000"/>
                  </a:schemeClr>
                </a:solidFill>
              </a:rPr>
              <a:t> City</a:t>
            </a:r>
            <a:r>
              <a:rPr lang="en-US" sz="1400">
                <a:solidFill>
                  <a:schemeClr val="accent1">
                    <a:lumMod val="50000"/>
                  </a:schemeClr>
                </a:solidFill>
              </a:rPr>
              <a:t> By</a:t>
            </a:r>
            <a:r>
              <a:rPr lang="en-US" sz="1400" baseline="0">
                <a:solidFill>
                  <a:schemeClr val="accent1">
                    <a:lumMod val="50000"/>
                  </a:schemeClr>
                </a:solidFill>
              </a:rPr>
              <a:t> Sales</a:t>
            </a:r>
            <a:endParaRPr lang="en-US" sz="1400">
              <a:solidFill>
                <a:schemeClr val="accent1">
                  <a:lumMod val="50000"/>
                </a:schemeClr>
              </a:solidFill>
            </a:endParaRPr>
          </a:p>
        </c:rich>
      </c:tx>
      <c:layout>
        <c:manualLayout>
          <c:xMode val="edge"/>
          <c:yMode val="edge"/>
          <c:x val="0.2472781506338553"/>
          <c:y val="3.59712230215827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accent3">
                <a:lumMod val="20000"/>
                <a:lumOff val="80000"/>
              </a:scheme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2563EB"/>
          </a:solidFill>
          <a:ln w="19050">
            <a:solidFill>
              <a:schemeClr val="lt1"/>
            </a:solidFill>
          </a:ln>
          <a:effectLst/>
        </c:spPr>
      </c:pivotFmt>
      <c:pivotFmt>
        <c:idx val="10"/>
        <c:spPr>
          <a:solidFill>
            <a:srgbClr val="60A5FA"/>
          </a:solidFill>
          <a:ln w="19050">
            <a:solidFill>
              <a:schemeClr val="lt1"/>
            </a:solidFill>
          </a:ln>
          <a:effectLst/>
        </c:spPr>
      </c:pivotFmt>
      <c:pivotFmt>
        <c:idx val="11"/>
        <c:spPr>
          <a:solidFill>
            <a:srgbClr val="93C5FD"/>
          </a:solidFill>
          <a:ln w="19050">
            <a:solidFill>
              <a:schemeClr val="lt1"/>
            </a:solidFill>
          </a:ln>
          <a:effectLst/>
        </c:spPr>
      </c:pivotFmt>
      <c:pivotFmt>
        <c:idx val="12"/>
        <c:spPr>
          <a:solidFill>
            <a:srgbClr val="BFDBFE"/>
          </a:solidFill>
          <a:ln w="19050">
            <a:solidFill>
              <a:schemeClr val="lt1"/>
            </a:solidFill>
          </a:ln>
          <a:effectLst/>
        </c:spPr>
      </c:pivotFmt>
      <c:pivotFmt>
        <c:idx val="13"/>
        <c:spPr>
          <a:solidFill>
            <a:srgbClr val="3BA2F6"/>
          </a:solidFill>
          <a:ln w="19050">
            <a:solidFill>
              <a:schemeClr val="lt1"/>
            </a:solidFill>
          </a:ln>
          <a:effectLst/>
        </c:spPr>
      </c:pivotFmt>
      <c:pivotFmt>
        <c:idx val="14"/>
        <c:spPr>
          <a:solidFill>
            <a:schemeClr val="accent1">
              <a:shade val="53000"/>
            </a:schemeClr>
          </a:solidFill>
          <a:ln w="19050">
            <a:solidFill>
              <a:schemeClr val="lt1"/>
            </a:solidFill>
          </a:ln>
          <a:effectLst/>
        </c:spPr>
      </c:pivotFmt>
      <c:pivotFmt>
        <c:idx val="15"/>
        <c:spPr>
          <a:solidFill>
            <a:schemeClr val="accent1">
              <a:shade val="76000"/>
            </a:schemeClr>
          </a:solidFill>
          <a:ln w="19050">
            <a:solidFill>
              <a:schemeClr val="lt1"/>
            </a:solidFill>
          </a:ln>
          <a:effectLst/>
        </c:spPr>
      </c:pivotFmt>
      <c:pivotFmt>
        <c:idx val="16"/>
        <c:spPr>
          <a:solidFill>
            <a:schemeClr val="accent1">
              <a:tint val="77000"/>
            </a:schemeClr>
          </a:solidFill>
          <a:ln w="19050">
            <a:solidFill>
              <a:schemeClr val="lt1"/>
            </a:solidFill>
          </a:ln>
          <a:effectLst/>
        </c:spPr>
      </c:pivotFmt>
      <c:pivotFmt>
        <c:idx val="17"/>
        <c:spPr>
          <a:solidFill>
            <a:srgbClr val="60A5FA"/>
          </a:solidFill>
          <a:ln w="19050">
            <a:solidFill>
              <a:schemeClr val="lt1"/>
            </a:solidFill>
          </a:ln>
          <a:effectLst/>
        </c:spPr>
      </c:pivotFmt>
      <c:pivotFmt>
        <c:idx val="18"/>
        <c:spPr>
          <a:solidFill>
            <a:srgbClr val="2563EB"/>
          </a:solidFill>
          <a:ln w="19050">
            <a:solidFill>
              <a:schemeClr val="lt1"/>
            </a:solidFill>
          </a:ln>
          <a:effectLst/>
        </c:spPr>
      </c:pivotFmt>
      <c:pivotFmt>
        <c:idx val="19"/>
        <c:spPr>
          <a:solidFill>
            <a:srgbClr val="1D4ED8"/>
          </a:solidFill>
          <a:ln w="19050">
            <a:solidFill>
              <a:schemeClr val="lt1"/>
            </a:solidFill>
          </a:ln>
          <a:effectLst/>
        </c:spPr>
      </c:pivotFmt>
      <c:pivotFmt>
        <c:idx val="20"/>
        <c:spPr>
          <a:solidFill>
            <a:srgbClr val="0070C0"/>
          </a:solidFill>
          <a:ln w="19050">
            <a:solidFill>
              <a:schemeClr val="lt1"/>
            </a:solidFill>
          </a:ln>
          <a:effectLst/>
        </c:spPr>
      </c:pivotFmt>
      <c:pivotFmt>
        <c:idx val="21"/>
        <c:spPr>
          <a:solidFill>
            <a:srgbClr val="2563EB"/>
          </a:solidFill>
          <a:ln w="19050">
            <a:solidFill>
              <a:schemeClr val="lt1"/>
            </a:solidFill>
          </a:ln>
          <a:effectLst/>
        </c:spPr>
      </c:pivotFmt>
      <c:pivotFmt>
        <c:idx val="22"/>
        <c:spPr>
          <a:solidFill>
            <a:srgbClr val="3B82F6"/>
          </a:solidFill>
          <a:ln w="19050">
            <a:solidFill>
              <a:schemeClr val="lt1"/>
            </a:solidFill>
          </a:ln>
          <a:effectLst/>
        </c:spPr>
      </c:pivotFmt>
      <c:pivotFmt>
        <c:idx val="23"/>
        <c:spPr>
          <a:solidFill>
            <a:srgbClr val="60A5FA"/>
          </a:solidFill>
          <a:ln w="19050">
            <a:solidFill>
              <a:schemeClr val="lt1"/>
            </a:solidFill>
          </a:ln>
          <a:effectLst/>
        </c:spPr>
      </c:pivotFmt>
      <c:pivotFmt>
        <c:idx val="24"/>
        <c:spPr>
          <a:solidFill>
            <a:schemeClr val="accent5">
              <a:lumMod val="20000"/>
              <a:lumOff val="80000"/>
            </a:schemeClr>
          </a:solidFill>
          <a:ln w="19050">
            <a:solidFill>
              <a:schemeClr val="lt1"/>
            </a:solidFill>
          </a:ln>
          <a:effectLst/>
        </c:spPr>
      </c:pivotFmt>
      <c:pivotFmt>
        <c:idx val="25"/>
        <c:spPr>
          <a:solidFill>
            <a:srgbClr val="CCECFF"/>
          </a:solidFill>
          <a:ln w="19050">
            <a:solidFill>
              <a:schemeClr val="lt1"/>
            </a:solidFill>
          </a:ln>
          <a:effectLst/>
        </c:spPr>
      </c:pivotFmt>
      <c:pivotFmt>
        <c:idx val="26"/>
        <c:spPr>
          <a:solidFill>
            <a:srgbClr val="2563EB"/>
          </a:solidFill>
          <a:ln w="19050">
            <a:solidFill>
              <a:schemeClr val="lt1"/>
            </a:solidFill>
          </a:ln>
          <a:effectLst/>
        </c:spPr>
      </c:pivotFmt>
      <c:pivotFmt>
        <c:idx val="27"/>
        <c:spPr>
          <a:solidFill>
            <a:schemeClr val="accent5">
              <a:lumMod val="20000"/>
              <a:lumOff val="80000"/>
            </a:schemeClr>
          </a:solidFill>
          <a:ln w="19050">
            <a:solidFill>
              <a:schemeClr val="lt1"/>
            </a:solidFill>
          </a:ln>
          <a:effectLst/>
        </c:spPr>
      </c:pivotFmt>
      <c:pivotFmt>
        <c:idx val="28"/>
        <c:spPr>
          <a:solidFill>
            <a:srgbClr val="3BA2F6"/>
          </a:solidFill>
          <a:ln w="19050">
            <a:solidFill>
              <a:schemeClr val="lt1"/>
            </a:solidFill>
          </a:ln>
          <a:effectLst/>
        </c:spPr>
      </c:pivotFmt>
      <c:pivotFmt>
        <c:idx val="29"/>
        <c:spPr>
          <a:solidFill>
            <a:srgbClr val="1D4ED8"/>
          </a:solidFill>
          <a:ln w="19050">
            <a:solidFill>
              <a:schemeClr val="lt1"/>
            </a:solidFill>
          </a:ln>
          <a:effectLst/>
        </c:spPr>
      </c:pivotFmt>
      <c:pivotFmt>
        <c:idx val="30"/>
        <c:spPr>
          <a:solidFill>
            <a:srgbClr val="3B82F6"/>
          </a:solidFill>
          <a:ln w="19050">
            <a:solidFill>
              <a:schemeClr val="lt1"/>
            </a:solidFill>
          </a:ln>
          <a:effectLst/>
        </c:spPr>
      </c:pivotFmt>
      <c:pivotFmt>
        <c:idx val="31"/>
        <c:spPr>
          <a:solidFill>
            <a:srgbClr val="60A5FA"/>
          </a:solidFill>
          <a:ln w="19050">
            <a:solidFill>
              <a:schemeClr val="lt1"/>
            </a:solidFill>
          </a:ln>
          <a:effectLst/>
        </c:spPr>
      </c:pivotFmt>
      <c:pivotFmt>
        <c:idx val="32"/>
        <c:spPr>
          <a:solidFill>
            <a:srgbClr val="BFDBFE"/>
          </a:solidFill>
          <a:ln w="19050">
            <a:solidFill>
              <a:schemeClr val="lt1"/>
            </a:solidFill>
          </a:ln>
          <a:effectLst/>
        </c:spPr>
        <c:dLbl>
          <c:idx val="0"/>
          <c:layout>
            <c:manualLayout>
              <c:x val="-7.4571215510812828E-3"/>
              <c:y val="1.1990407673860911E-2"/>
            </c:manualLayout>
          </c:layout>
          <c:spPr>
            <a:solidFill>
              <a:schemeClr val="accent3">
                <a:lumMod val="20000"/>
                <a:lumOff val="80000"/>
              </a:scheme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20000"/>
              <a:lumOff val="80000"/>
            </a:schemeClr>
          </a:solidFill>
          <a:ln w="19050">
            <a:solidFill>
              <a:schemeClr val="lt1"/>
            </a:solidFill>
          </a:ln>
          <a:effectLst/>
        </c:spPr>
        <c:dLbl>
          <c:idx val="0"/>
          <c:layout>
            <c:manualLayout>
              <c:x val="1.8642803877703208E-2"/>
              <c:y val="-2.3980815347721795E-2"/>
            </c:manualLayout>
          </c:layout>
          <c:spPr>
            <a:solidFill>
              <a:schemeClr val="accent3">
                <a:lumMod val="20000"/>
                <a:lumOff val="80000"/>
              </a:scheme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tint val="65000"/>
            </a:schemeClr>
          </a:solidFill>
          <a:ln w="19050">
            <a:solidFill>
              <a:schemeClr val="lt1"/>
            </a:solidFill>
          </a:ln>
          <a:effectLst/>
        </c:spPr>
      </c:pivotFmt>
    </c:pivotFmts>
    <c:plotArea>
      <c:layout>
        <c:manualLayout>
          <c:layoutTarget val="inner"/>
          <c:xMode val="edge"/>
          <c:yMode val="edge"/>
          <c:x val="9.5912510936132983E-2"/>
          <c:y val="0.19712583596541952"/>
          <c:w val="0.50992594675665537"/>
          <c:h val="0.77039171812156571"/>
        </c:manualLayout>
      </c:layout>
      <c:doughnutChart>
        <c:varyColors val="1"/>
        <c:ser>
          <c:idx val="0"/>
          <c:order val="0"/>
          <c:tx>
            <c:strRef>
              <c:f>Analysis!$J$23</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811D-4301-B616-4A585A23ECC6}"/>
              </c:ext>
            </c:extLst>
          </c:dPt>
          <c:dPt>
            <c:idx val="1"/>
            <c:bubble3D val="0"/>
            <c:spPr>
              <a:solidFill>
                <a:srgbClr val="1D4ED8"/>
              </a:solidFill>
              <a:ln w="19050">
                <a:solidFill>
                  <a:schemeClr val="lt1"/>
                </a:solidFill>
              </a:ln>
              <a:effectLst/>
            </c:spPr>
            <c:extLst>
              <c:ext xmlns:c16="http://schemas.microsoft.com/office/drawing/2014/chart" uri="{C3380CC4-5D6E-409C-BE32-E72D297353CC}">
                <c16:uniqueId val="{00000003-811D-4301-B616-4A585A23ECC6}"/>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811D-4301-B616-4A585A23ECC6}"/>
              </c:ext>
            </c:extLst>
          </c:dPt>
          <c:dPt>
            <c:idx val="3"/>
            <c:bubble3D val="0"/>
            <c:spPr>
              <a:solidFill>
                <a:srgbClr val="2563EB"/>
              </a:solidFill>
              <a:ln w="19050">
                <a:solidFill>
                  <a:schemeClr val="lt1"/>
                </a:solidFill>
              </a:ln>
              <a:effectLst/>
            </c:spPr>
            <c:extLst>
              <c:ext xmlns:c16="http://schemas.microsoft.com/office/drawing/2014/chart" uri="{C3380CC4-5D6E-409C-BE32-E72D297353CC}">
                <c16:uniqueId val="{00000008-811D-4301-B616-4A585A23ECC6}"/>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7-811D-4301-B616-4A585A23ECC6}"/>
              </c:ext>
            </c:extLst>
          </c:dPt>
          <c:dLbls>
            <c:spPr>
              <a:solidFill>
                <a:schemeClr val="accent3">
                  <a:lumMod val="20000"/>
                  <a:lumOff val="80000"/>
                </a:scheme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Analysis!$I$24:$I$29</c:f>
              <c:strCache>
                <c:ptCount val="5"/>
                <c:pt idx="0">
                  <c:v>Eagan</c:v>
                </c:pt>
                <c:pt idx="1">
                  <c:v>Houston</c:v>
                </c:pt>
                <c:pt idx="2">
                  <c:v>Naperville</c:v>
                </c:pt>
                <c:pt idx="3">
                  <c:v>Richardson</c:v>
                </c:pt>
                <c:pt idx="4">
                  <c:v>Rochester</c:v>
                </c:pt>
              </c:strCache>
            </c:strRef>
          </c:cat>
          <c:val>
            <c:numRef>
              <c:f>Analysis!$J$24:$J$29</c:f>
              <c:numCache>
                <c:formatCode>0.00%</c:formatCode>
                <c:ptCount val="5"/>
                <c:pt idx="0">
                  <c:v>2.7338942236227959E-2</c:v>
                </c:pt>
                <c:pt idx="1">
                  <c:v>0.22069031126438146</c:v>
                </c:pt>
                <c:pt idx="2">
                  <c:v>8.7503641822992528E-2</c:v>
                </c:pt>
                <c:pt idx="3">
                  <c:v>0.65258138359544549</c:v>
                </c:pt>
                <c:pt idx="4">
                  <c:v>1.1885721080952521E-2</c:v>
                </c:pt>
              </c:numCache>
            </c:numRef>
          </c:val>
          <c:extLst>
            <c:ext xmlns:c16="http://schemas.microsoft.com/office/drawing/2014/chart" uri="{C3380CC4-5D6E-409C-BE32-E72D297353CC}">
              <c16:uniqueId val="{00000006-811D-4301-B616-4A585A23ECC6}"/>
            </c:ext>
          </c:extLst>
        </c:ser>
        <c:dLbls>
          <c:showLegendKey val="0"/>
          <c:showVal val="0"/>
          <c:showCatName val="0"/>
          <c:showSerName val="0"/>
          <c:showPercent val="0"/>
          <c:showBubbleSize val="0"/>
          <c:showLeaderLines val="0"/>
        </c:dLbls>
        <c:firstSliceAng val="48"/>
        <c:holeSize val="62"/>
      </c:doughnutChart>
      <c:spPr>
        <a:noFill/>
        <a:ln>
          <a:noFill/>
        </a:ln>
        <a:effectLst/>
      </c:spPr>
    </c:plotArea>
    <c:legend>
      <c:legendPos val="r"/>
      <c:layout>
        <c:manualLayout>
          <c:xMode val="edge"/>
          <c:yMode val="edge"/>
          <c:x val="0.71358429189639883"/>
          <c:y val="0.25933552370701862"/>
          <c:w val="0.26404434345035727"/>
          <c:h val="0.57179610642194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563EB"/>
      </a:solidFill>
      <a:round/>
    </a:ln>
    <a:effectLst>
      <a:outerShdw blurRad="50800" dist="76200" dir="2700000" algn="tl" rotWithShape="0">
        <a:schemeClr val="accent5">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[Superstore_Sales_Dashboard.xlsx]Analysis!PivotTable7</c:name>
    <c:fmtId val="19"/>
  </c:pivotSource>
  <c:chart>
    <c:title>
      <c:tx>
        <c:rich>
          <a:bodyPr/>
          <a:lstStyle/>
          <a:p>
            <a:pPr>
              <a:defRPr/>
            </a:pPr>
            <a:r>
              <a:rPr lang="en-US" sz="1400" b="0">
                <a:solidFill>
                  <a:schemeClr val="accent1">
                    <a:lumMod val="50000"/>
                  </a:schemeClr>
                </a:solidFill>
              </a:rPr>
              <a:t>Total sales By</a:t>
            </a:r>
            <a:r>
              <a:rPr lang="en-US" sz="1400" b="0" baseline="0">
                <a:solidFill>
                  <a:schemeClr val="accent1">
                    <a:lumMod val="50000"/>
                  </a:schemeClr>
                </a:solidFill>
              </a:rPr>
              <a:t> Category</a:t>
            </a:r>
            <a:endParaRPr lang="en-US" sz="1400" b="0">
              <a:solidFill>
                <a:schemeClr val="accent1">
                  <a:lumMod val="50000"/>
                </a:schemeClr>
              </a:solidFill>
            </a:endParaRPr>
          </a:p>
        </c:rich>
      </c:tx>
      <c:layout>
        <c:manualLayout>
          <c:xMode val="edge"/>
          <c:yMode val="edge"/>
          <c:x val="0.38998792034959123"/>
          <c:y val="4.5819014891179836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41568711994442"/>
          <c:y val="0.12474046414301306"/>
          <c:w val="0.68641852314192442"/>
          <c:h val="0.74463606451367492"/>
        </c:manualLayout>
      </c:layout>
      <c:barChart>
        <c:barDir val="col"/>
        <c:grouping val="clustered"/>
        <c:varyColors val="0"/>
        <c:ser>
          <c:idx val="0"/>
          <c:order val="0"/>
          <c:tx>
            <c:strRef>
              <c:f>Analysis!$F$10</c:f>
              <c:strCache>
                <c:ptCount val="1"/>
                <c:pt idx="0">
                  <c:v>Total</c:v>
                </c:pt>
              </c:strCache>
            </c:strRef>
          </c:tx>
          <c:spPr>
            <a:solidFill>
              <a:srgbClr val="2563EB"/>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Analysis!$F$11</c:f>
              <c:strCache>
                <c:ptCount val="1"/>
                <c:pt idx="0">
                  <c:v>Total</c:v>
                </c:pt>
              </c:strCache>
            </c:strRef>
          </c:cat>
          <c:val>
            <c:numRef>
              <c:f>Analysis!$F$11</c:f>
              <c:numCache>
                <c:formatCode>_("$"* #,##0.00_);_("$"* \(#,##0.00\);_("$"* "-"??_);_(@_)</c:formatCode>
                <c:ptCount val="1"/>
                <c:pt idx="0">
                  <c:v>1681.8500000000001</c:v>
                </c:pt>
              </c:numCache>
            </c:numRef>
          </c:val>
          <c:extLst>
            <c:ext xmlns:c16="http://schemas.microsoft.com/office/drawing/2014/chart" uri="{C3380CC4-5D6E-409C-BE32-E72D297353CC}">
              <c16:uniqueId val="{00000002-ACB9-4877-AA20-BECB0A1EDC26}"/>
            </c:ext>
          </c:extLst>
        </c:ser>
        <c:dLbls>
          <c:showLegendKey val="0"/>
          <c:showVal val="0"/>
          <c:showCatName val="0"/>
          <c:showSerName val="0"/>
          <c:showPercent val="0"/>
          <c:showBubbleSize val="0"/>
        </c:dLbls>
        <c:gapWidth val="186"/>
        <c:axId val="297149488"/>
        <c:axId val="297134128"/>
      </c:barChart>
      <c:catAx>
        <c:axId val="297149488"/>
        <c:scaling>
          <c:orientation val="minMax"/>
        </c:scaling>
        <c:delete val="0"/>
        <c:axPos val="b"/>
        <c:numFmt formatCode="General" sourceLinked="1"/>
        <c:majorTickMark val="none"/>
        <c:minorTickMark val="none"/>
        <c:tickLblPos val="nextTo"/>
        <c:spPr>
          <a:noFill/>
          <a:ln w="9525" cap="flat" cmpd="sng" algn="ctr">
            <a:solidFill>
              <a:srgbClr val="93C5FD"/>
            </a:solidFill>
            <a:round/>
          </a:ln>
          <a:effectLst/>
        </c:spPr>
        <c:txPr>
          <a:bodyPr rot="-600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crossAx val="297134128"/>
        <c:crosses val="autoZero"/>
        <c:auto val="1"/>
        <c:lblAlgn val="ctr"/>
        <c:lblOffset val="100"/>
        <c:noMultiLvlLbl val="0"/>
      </c:catAx>
      <c:valAx>
        <c:axId val="297134128"/>
        <c:scaling>
          <c:orientation val="minMax"/>
        </c:scaling>
        <c:delete val="0"/>
        <c:axPos val="l"/>
        <c:numFmt formatCode="_(&quot;$&quot;* #,##0.00_);_(&quot;$&quot;* \(#,##0.00\);_(&quot;$&quot;* &quot;-&quot;??_);_(@_)" sourceLinked="1"/>
        <c:majorTickMark val="out"/>
        <c:minorTickMark val="none"/>
        <c:tickLblPos val="nextTo"/>
        <c:spPr>
          <a:ln>
            <a:solidFill>
              <a:srgbClr val="93C5FD"/>
            </a:solidFill>
          </a:ln>
        </c:spPr>
        <c:crossAx val="297149488"/>
        <c:crosses val="autoZero"/>
        <c:crossBetween val="between"/>
      </c:valAx>
    </c:plotArea>
    <c:plotVisOnly val="1"/>
    <c:dispBlanksAs val="gap"/>
    <c:showDLblsOverMax val="0"/>
    <c:extLst/>
  </c:chart>
  <c:spPr>
    <a:solidFill>
      <a:schemeClr val="bg1"/>
    </a:solidFill>
    <a:ln w="9525" cap="flat" cmpd="sng" algn="ctr">
      <a:solidFill>
        <a:srgbClr val="2563EB"/>
      </a:solidFill>
      <a:round/>
    </a:ln>
    <a:effectLst>
      <a:outerShdw blurRad="50800" dist="76200" dir="2700000" algn="tl" rotWithShape="0">
        <a:schemeClr val="accent5">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[Superstore_Sales_Dashboard.xlsx]Analysis!Segment</c:name>
    <c:fmtId val="8"/>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400">
                <a:solidFill>
                  <a:schemeClr val="accent1">
                    <a:lumMod val="50000"/>
                  </a:schemeClr>
                </a:solidFill>
              </a:rPr>
              <a:t>Total Sales By Segment</a:t>
            </a:r>
          </a:p>
        </c:rich>
      </c:tx>
      <c:layout>
        <c:manualLayout>
          <c:xMode val="edge"/>
          <c:yMode val="edge"/>
          <c:x val="0.30966085673607152"/>
          <c:y val="4.7892720306513412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2563EB"/>
          </a:solidFill>
          <a:ln w="19050">
            <a:solidFill>
              <a:schemeClr val="lt1"/>
            </a:solid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563EB"/>
          </a:solidFill>
          <a:ln w="19050">
            <a:solidFill>
              <a:schemeClr val="lt1"/>
            </a:solidFill>
          </a:ln>
          <a:effectLst/>
        </c:spPr>
      </c:pivotFmt>
      <c:pivotFmt>
        <c:idx val="7"/>
        <c:spPr>
          <a:solidFill>
            <a:srgbClr val="3BA2F6"/>
          </a:solidFill>
          <a:ln w="19050">
            <a:solidFill>
              <a:schemeClr val="lt1"/>
            </a:solidFill>
          </a:ln>
          <a:effectLst/>
        </c:spPr>
      </c:pivotFmt>
      <c:pivotFmt>
        <c:idx val="8"/>
        <c:spPr>
          <a:solidFill>
            <a:srgbClr val="BFDBFE"/>
          </a:solidFill>
          <a:ln w="19050">
            <a:solidFill>
              <a:schemeClr val="lt1"/>
            </a:solidFill>
          </a:ln>
          <a:effectLst/>
        </c:spPr>
      </c:pivotFmt>
    </c:pivotFmts>
    <c:plotArea>
      <c:layout/>
      <c:pieChart>
        <c:varyColors val="1"/>
        <c:ser>
          <c:idx val="0"/>
          <c:order val="0"/>
          <c:tx>
            <c:strRef>
              <c:f>Analysis!$J$13</c:f>
              <c:strCache>
                <c:ptCount val="1"/>
                <c:pt idx="0">
                  <c:v>Total</c:v>
                </c:pt>
              </c:strCache>
            </c:strRef>
          </c:tx>
          <c:spPr>
            <a:solidFill>
              <a:srgbClr val="2563EB"/>
            </a:solidFill>
          </c:spPr>
          <c:dPt>
            <c:idx val="0"/>
            <c:bubble3D val="0"/>
            <c:spPr>
              <a:solidFill>
                <a:srgbClr val="2563EB"/>
              </a:solidFill>
              <a:ln w="19050">
                <a:solidFill>
                  <a:schemeClr val="lt1"/>
                </a:solidFill>
              </a:ln>
              <a:effectLst/>
            </c:spPr>
            <c:extLst>
              <c:ext xmlns:c16="http://schemas.microsoft.com/office/drawing/2014/chart" uri="{C3380CC4-5D6E-409C-BE32-E72D297353CC}">
                <c16:uniqueId val="{00000001-D219-42C5-8489-9E57E4D66ABA}"/>
              </c:ext>
            </c:extLst>
          </c:dPt>
          <c:dPt>
            <c:idx val="1"/>
            <c:bubble3D val="0"/>
            <c:spPr>
              <a:solidFill>
                <a:srgbClr val="3BA2F6"/>
              </a:solidFill>
              <a:ln w="19050">
                <a:solidFill>
                  <a:schemeClr val="lt1"/>
                </a:solidFill>
              </a:ln>
              <a:effectLst/>
            </c:spPr>
            <c:extLst>
              <c:ext xmlns:c16="http://schemas.microsoft.com/office/drawing/2014/chart" uri="{C3380CC4-5D6E-409C-BE32-E72D297353CC}">
                <c16:uniqueId val="{00000003-D219-42C5-8489-9E57E4D66ABA}"/>
              </c:ext>
            </c:extLst>
          </c:dPt>
          <c:dPt>
            <c:idx val="2"/>
            <c:bubble3D val="0"/>
            <c:spPr>
              <a:solidFill>
                <a:srgbClr val="BFDBFE"/>
              </a:solidFill>
              <a:ln w="19050">
                <a:solidFill>
                  <a:schemeClr val="lt1"/>
                </a:solidFill>
              </a:ln>
              <a:effectLst/>
            </c:spPr>
            <c:extLst>
              <c:ext xmlns:c16="http://schemas.microsoft.com/office/drawing/2014/chart" uri="{C3380CC4-5D6E-409C-BE32-E72D297353CC}">
                <c16:uniqueId val="{00000005-D219-42C5-8489-9E57E4D66ABA}"/>
              </c:ext>
            </c:extLst>
          </c:dPt>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Analysis!$I$14:$I$17</c:f>
              <c:strCache>
                <c:ptCount val="3"/>
                <c:pt idx="0">
                  <c:v>Consumer</c:v>
                </c:pt>
                <c:pt idx="1">
                  <c:v>Corporate</c:v>
                </c:pt>
                <c:pt idx="2">
                  <c:v>Home Office</c:v>
                </c:pt>
              </c:strCache>
            </c:strRef>
          </c:cat>
          <c:val>
            <c:numRef>
              <c:f>Analysis!$J$14:$J$17</c:f>
              <c:numCache>
                <c:formatCode>0.00%</c:formatCode>
                <c:ptCount val="3"/>
                <c:pt idx="0">
                  <c:v>1.1885721080952523E-2</c:v>
                </c:pt>
                <c:pt idx="1">
                  <c:v>0.76742396765466603</c:v>
                </c:pt>
                <c:pt idx="2">
                  <c:v>0.22069031126438149</c:v>
                </c:pt>
              </c:numCache>
            </c:numRef>
          </c:val>
          <c:extLst>
            <c:ext xmlns:c16="http://schemas.microsoft.com/office/drawing/2014/chart" uri="{C3380CC4-5D6E-409C-BE32-E72D297353CC}">
              <c16:uniqueId val="{00000006-D219-42C5-8489-9E57E4D66ABA}"/>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067999291643503"/>
          <c:y val="0.27689345943825988"/>
          <c:w val="0.2708586946068739"/>
          <c:h val="0.45273799288020028"/>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563EB"/>
      </a:solidFill>
      <a:round/>
    </a:ln>
    <a:effectLst>
      <a:outerShdw blurRad="50800" dist="76200" dir="5400000" algn="ctr" rotWithShape="0">
        <a:schemeClr val="accent5">
          <a:lumMod val="60000"/>
          <a:lumOff val="40000"/>
          <a:alpha val="40000"/>
        </a:scheme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[Superstore_Sales_Dashboard.xlsx]Analysis!Top State</c:name>
    <c:fmtId val="38"/>
  </c:pivotSource>
  <c:chart>
    <c:title>
      <c:tx>
        <c:rich>
          <a:bodyPr rot="0" spcFirstLastPara="1" vertOverflow="ellipsis" vert="horz" wrap="square" anchor="ctr" anchorCtr="1"/>
          <a:lstStyle/>
          <a:p>
            <a:pPr algn="ctr" rtl="0">
              <a:defRPr lang="en-US" sz="1400" b="0" i="0" u="none" strike="noStrike" kern="1200" spc="20" baseline="0">
                <a:solidFill>
                  <a:schemeClr val="accent1">
                    <a:lumMod val="50000"/>
                  </a:schemeClr>
                </a:solidFill>
                <a:latin typeface="+mn-lt"/>
                <a:ea typeface="+mn-ea"/>
                <a:cs typeface="+mn-cs"/>
              </a:defRPr>
            </a:pPr>
            <a:r>
              <a:rPr lang="en-US" sz="1400" b="0" i="0" u="none" strike="noStrike" kern="1200" baseline="0">
                <a:solidFill>
                  <a:schemeClr val="accent1">
                    <a:lumMod val="50000"/>
                  </a:schemeClr>
                </a:solidFill>
                <a:latin typeface="+mn-lt"/>
                <a:ea typeface="+mn-ea"/>
                <a:cs typeface="+mn-cs"/>
              </a:rPr>
              <a:t>Top State By Sales</a:t>
            </a:r>
          </a:p>
        </c:rich>
      </c:tx>
      <c:layout>
        <c:manualLayout>
          <c:xMode val="edge"/>
          <c:yMode val="edge"/>
          <c:x val="0.44297900262467194"/>
          <c:y val="3.4113060428849901E-2"/>
        </c:manualLayout>
      </c:layout>
      <c:overlay val="0"/>
      <c:spPr>
        <a:noFill/>
        <a:ln>
          <a:noFill/>
        </a:ln>
        <a:effectLst/>
      </c:spPr>
      <c:txPr>
        <a:bodyPr rot="0" spcFirstLastPara="1" vertOverflow="ellipsis" vert="horz" wrap="square" anchor="ctr" anchorCtr="1"/>
        <a:lstStyle/>
        <a:p>
          <a:pPr algn="ctr" rtl="0">
            <a:defRPr lang="en-US" sz="1400" b="0" i="0" u="none" strike="noStrike" kern="1200" spc="20" baseline="0">
              <a:solidFill>
                <a:schemeClr val="accent1">
                  <a:lumMod val="50000"/>
                </a:schemeClr>
              </a:solidFill>
              <a:latin typeface="+mn-lt"/>
              <a:ea typeface="+mn-ea"/>
              <a:cs typeface="+mn-cs"/>
            </a:defRPr>
          </a:pPr>
          <a:endParaRPr lang="en-US"/>
        </a:p>
      </c:txPr>
    </c:title>
    <c:autoTitleDeleted val="0"/>
    <c:pivotFmts>
      <c:pivotFmt>
        <c:idx val="0"/>
        <c:spPr>
          <a:solidFill>
            <a:srgbClr val="2563EB"/>
          </a:solidFill>
          <a:ln>
            <a:noFill/>
          </a:ln>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lang="en-US" sz="1050" b="0" i="0" u="none" strike="noStrike" kern="1200" spc="2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563EB"/>
          </a:solidFill>
          <a:ln>
            <a:noFill/>
          </a:ln>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lang="en-US" sz="1050" b="0" i="0" u="none" strike="noStrike" kern="1200" spc="2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lang="en-US" sz="1050" b="0" i="0" u="none" strike="noStrike" kern="1200" spc="2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77318460192475"/>
          <c:y val="0.12383040935672515"/>
          <c:w val="0.81978237095363082"/>
          <c:h val="0.75408550904821103"/>
        </c:manualLayout>
      </c:layout>
      <c:barChart>
        <c:barDir val="col"/>
        <c:grouping val="clustered"/>
        <c:varyColors val="0"/>
        <c:ser>
          <c:idx val="0"/>
          <c:order val="0"/>
          <c:tx>
            <c:strRef>
              <c:f>Analysis!$G$22</c:f>
              <c:strCache>
                <c:ptCount val="1"/>
                <c:pt idx="0">
                  <c:v>Total</c:v>
                </c:pt>
              </c:strCache>
            </c:strRef>
          </c:tx>
          <c:spPr>
            <a:solidFill>
              <a:srgbClr val="2563EB"/>
            </a:solidFill>
            <a:ln>
              <a:noFill/>
            </a:ln>
            <a:effectLst/>
          </c:spPr>
          <c:invertIfNegative val="0"/>
          <c:dLbls>
            <c:spPr>
              <a:solidFill>
                <a:schemeClr val="bg1">
                  <a:lumMod val="85000"/>
                </a:schemeClr>
              </a:solidFill>
              <a:ln>
                <a:noFill/>
              </a:ln>
              <a:effectLst/>
            </c:spPr>
            <c:txPr>
              <a:bodyPr rot="0" spcFirstLastPara="1" vertOverflow="ellipsis" vert="horz" wrap="square" anchor="ctr" anchorCtr="1"/>
              <a:lstStyle/>
              <a:p>
                <a:pPr>
                  <a:defRPr lang="en-US" sz="1050" b="0" i="0" u="none" strike="noStrike" kern="1200" spc="2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Analysis!$F$23:$F$26</c:f>
              <c:strCache>
                <c:ptCount val="3"/>
                <c:pt idx="0">
                  <c:v>Illinois</c:v>
                </c:pt>
                <c:pt idx="1">
                  <c:v>Minnesota</c:v>
                </c:pt>
                <c:pt idx="2">
                  <c:v>Texas</c:v>
                </c:pt>
              </c:strCache>
            </c:strRef>
          </c:cat>
          <c:val>
            <c:numRef>
              <c:f>Analysis!$G$23:$G$26</c:f>
              <c:numCache>
                <c:formatCode>0.00%</c:formatCode>
                <c:ptCount val="3"/>
                <c:pt idx="0">
                  <c:v>8.7503641822992542E-2</c:v>
                </c:pt>
                <c:pt idx="1">
                  <c:v>3.922466331718049E-2</c:v>
                </c:pt>
                <c:pt idx="2">
                  <c:v>0.87327169485982703</c:v>
                </c:pt>
              </c:numCache>
            </c:numRef>
          </c:val>
          <c:extLst>
            <c:ext xmlns:c16="http://schemas.microsoft.com/office/drawing/2014/chart" uri="{C3380CC4-5D6E-409C-BE32-E72D297353CC}">
              <c16:uniqueId val="{00000000-9268-40F6-AAED-2E60FEC0C0CA}"/>
            </c:ext>
          </c:extLst>
        </c:ser>
        <c:dLbls>
          <c:dLblPos val="outEnd"/>
          <c:showLegendKey val="0"/>
          <c:showVal val="1"/>
          <c:showCatName val="0"/>
          <c:showSerName val="0"/>
          <c:showPercent val="0"/>
          <c:showBubbleSize val="0"/>
        </c:dLbls>
        <c:gapWidth val="219"/>
        <c:overlap val="-27"/>
        <c:axId val="988361312"/>
        <c:axId val="988362272"/>
      </c:barChart>
      <c:catAx>
        <c:axId val="988361312"/>
        <c:scaling>
          <c:orientation val="minMax"/>
        </c:scaling>
        <c:delete val="0"/>
        <c:axPos val="b"/>
        <c:numFmt formatCode="General" sourceLinked="1"/>
        <c:majorTickMark val="none"/>
        <c:minorTickMark val="none"/>
        <c:tickLblPos val="nextTo"/>
        <c:spPr>
          <a:noFill/>
          <a:ln w="9525" cap="flat" cmpd="sng" algn="ctr">
            <a:solidFill>
              <a:srgbClr val="3BA2F6"/>
            </a:solidFill>
            <a:round/>
          </a:ln>
          <a:effectLst/>
        </c:spPr>
        <c:txPr>
          <a:bodyPr rot="-60000000" spcFirstLastPara="1" vertOverflow="ellipsis" vert="horz" wrap="square" anchor="ctr" anchorCtr="1"/>
          <a:lstStyle/>
          <a:p>
            <a:pPr algn="ctr">
              <a:defRPr lang="en-US" sz="1000" b="0" i="0" u="none" strike="noStrike" kern="1200" spc="20" baseline="0">
                <a:solidFill>
                  <a:schemeClr val="accent1">
                    <a:lumMod val="50000"/>
                  </a:schemeClr>
                </a:solidFill>
                <a:latin typeface="+mn-lt"/>
                <a:ea typeface="+mn-ea"/>
                <a:cs typeface="+mn-cs"/>
              </a:defRPr>
            </a:pPr>
            <a:endParaRPr lang="en-US"/>
          </a:p>
        </c:txPr>
        <c:crossAx val="988362272"/>
        <c:crosses val="autoZero"/>
        <c:auto val="1"/>
        <c:lblAlgn val="ctr"/>
        <c:lblOffset val="100"/>
        <c:noMultiLvlLbl val="0"/>
      </c:catAx>
      <c:valAx>
        <c:axId val="9883622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50" b="0" i="0" u="none" strike="noStrike" kern="1200" spc="20" baseline="0">
                <a:solidFill>
                  <a:schemeClr val="tx1">
                    <a:lumMod val="65000"/>
                    <a:lumOff val="35000"/>
                  </a:schemeClr>
                </a:solidFill>
                <a:latin typeface="+mn-lt"/>
                <a:ea typeface="+mn-ea"/>
                <a:cs typeface="+mn-cs"/>
              </a:defRPr>
            </a:pPr>
            <a:endParaRPr lang="en-US"/>
          </a:p>
        </c:txPr>
        <c:crossAx val="98836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563EB"/>
      </a:solidFill>
      <a:round/>
    </a:ln>
    <a:effectLst>
      <a:outerShdw blurRad="50800" dist="76200" dir="2700000" algn="tl" rotWithShape="0">
        <a:schemeClr val="accent5">
          <a:lumMod val="40000"/>
          <a:lumOff val="60000"/>
          <a:alpha val="40000"/>
        </a:schemeClr>
      </a:outerShdw>
    </a:effectLst>
  </c:spPr>
  <c:txPr>
    <a:bodyPr/>
    <a:lstStyle/>
    <a:p>
      <a:pPr algn="ctr" rtl="0">
        <a:defRPr lang="en-US" sz="1050" b="0" i="0" u="none" strike="noStrike" kern="1200" spc="2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[Superstore_Sales_Dashboard.xlsx]Analysis!Region</c:name>
    <c:fmtId val="31"/>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400" baseline="0">
                <a:solidFill>
                  <a:schemeClr val="accent1">
                    <a:lumMod val="50000"/>
                  </a:schemeClr>
                </a:solidFill>
                <a:latin typeface="+mn-lt"/>
              </a:rPr>
              <a:t>Total Profit By Region</a:t>
            </a:r>
          </a:p>
        </c:rich>
      </c:tx>
      <c:layout>
        <c:manualLayout>
          <c:xMode val="edge"/>
          <c:yMode val="edge"/>
          <c:x val="0.34373619448559029"/>
          <c:y val="3.3003070188182194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layout>
            <c:manualLayout>
              <c:x val="4.4091710758377353E-3"/>
              <c:y val="-5.5005067435877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8650793650793643E-2"/>
                  <c:h val="7.6925409076340698E-2"/>
                </c:manualLayout>
              </c15:layout>
            </c:ext>
          </c:extLst>
        </c:dLbl>
      </c:pivotFmt>
      <c:pivotFmt>
        <c:idx val="4"/>
        <c:spPr>
          <a:solidFill>
            <a:srgbClr val="00B050"/>
          </a:solidFill>
          <a:ln>
            <a:noFill/>
          </a:ln>
          <a:effectLst/>
        </c:spPr>
        <c:dLbl>
          <c:idx val="0"/>
          <c:layout>
            <c:manualLayout>
              <c:x val="-8.0833869257269799E-17"/>
              <c:y val="-3.3003300330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dLbl>
          <c:idx val="0"/>
          <c:layout>
            <c:manualLayout>
              <c:x val="0"/>
              <c:y val="-7.1507150715071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dLbl>
          <c:idx val="0"/>
          <c:layout>
            <c:manualLayout>
              <c:x val="0"/>
              <c:y val="-3.3003300330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dLbl>
          <c:idx val="0"/>
          <c:layout>
            <c:manualLayout>
              <c:x val="0"/>
              <c:y val="-3.3003300330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dLbl>
          <c:idx val="0"/>
          <c:layout>
            <c:manualLayout>
              <c:x val="4.4091710758377353E-3"/>
              <c:y val="-5.5005067435877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8650793650793643E-2"/>
                  <c:h val="7.6925409076340698E-2"/>
                </c:manualLayout>
              </c15:layout>
            </c:ext>
          </c:extLst>
        </c:dLbl>
      </c:pivotFmt>
      <c:pivotFmt>
        <c:idx val="10"/>
        <c:spPr>
          <a:solidFill>
            <a:srgbClr val="00B050"/>
          </a:solidFill>
          <a:ln>
            <a:noFill/>
          </a:ln>
          <a:effectLst/>
        </c:spPr>
        <c:dLbl>
          <c:idx val="0"/>
          <c:layout>
            <c:manualLayout>
              <c:x val="-8.0833869257269799E-17"/>
              <c:y val="-3.3003300330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dLbl>
          <c:idx val="0"/>
          <c:layout>
            <c:manualLayout>
              <c:x val="0"/>
              <c:y val="-7.1507150715071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563EB"/>
          </a:solidFill>
          <a:ln>
            <a:noFill/>
          </a:ln>
          <a:effectLst/>
        </c:spPr>
      </c:pivotFmt>
      <c:pivotFmt>
        <c:idx val="14"/>
        <c:spPr>
          <a:solidFill>
            <a:srgbClr val="2563EB"/>
          </a:solidFill>
          <a:ln>
            <a:noFill/>
          </a:ln>
          <a:effectLst/>
        </c:spPr>
      </c:pivotFmt>
      <c:pivotFmt>
        <c:idx val="15"/>
        <c:spPr>
          <a:solidFill>
            <a:srgbClr val="2563EB"/>
          </a:solidFill>
          <a:ln>
            <a:noFill/>
          </a:ln>
          <a:effectLst/>
        </c:spPr>
        <c:dLbl>
          <c:idx val="0"/>
          <c:layout>
            <c:manualLayout>
              <c:x val="0"/>
              <c:y val="-6.1500615006147806E-3"/>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563EB"/>
          </a:solidFill>
          <a:ln>
            <a:noFill/>
          </a:ln>
          <a:effectLst/>
        </c:spPr>
        <c:dLbl>
          <c:idx val="0"/>
          <c:layout>
            <c:manualLayout>
              <c:x val="4.1254125412540496E-3"/>
              <c:y val="-6.1500615006150061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2563EB"/>
          </a:solidFill>
          <a:ln>
            <a:noFill/>
          </a:ln>
          <a:effectLst/>
        </c:spPr>
      </c:pivotFmt>
      <c:pivotFmt>
        <c:idx val="19"/>
        <c:spPr>
          <a:solidFill>
            <a:srgbClr val="2563EB"/>
          </a:solidFill>
          <a:ln>
            <a:noFill/>
          </a:ln>
          <a:effectLst/>
        </c:spPr>
      </c:pivotFmt>
      <c:pivotFmt>
        <c:idx val="20"/>
        <c:spPr>
          <a:solidFill>
            <a:srgbClr val="2563EB"/>
          </a:solidFill>
          <a:ln>
            <a:noFill/>
          </a:ln>
          <a:effectLst/>
        </c:spPr>
        <c:dLbl>
          <c:idx val="0"/>
          <c:layout>
            <c:manualLayout>
              <c:x val="0"/>
              <c:y val="-6.1500615006147806E-3"/>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2563EB"/>
          </a:solidFill>
          <a:ln>
            <a:noFill/>
          </a:ln>
          <a:effectLst/>
        </c:spPr>
        <c:dLbl>
          <c:idx val="0"/>
          <c:layout>
            <c:manualLayout>
              <c:x val="4.1254125412540496E-3"/>
              <c:y val="-6.1500615006150061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2563EB"/>
          </a:solidFill>
          <a:ln>
            <a:noFill/>
          </a:ln>
          <a:effectLst/>
        </c:spPr>
        <c:dLbl>
          <c:idx val="0"/>
          <c:layout>
            <c:manualLayout>
              <c:x val="0"/>
              <c:y val="-6.5876152832674575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2563EB"/>
          </a:solidFill>
          <a:ln>
            <a:noFill/>
          </a:ln>
          <a:effectLst/>
        </c:spPr>
      </c:pivotFmt>
      <c:pivotFmt>
        <c:idx val="25"/>
        <c:spPr>
          <a:solidFill>
            <a:srgbClr val="2563EB"/>
          </a:solidFill>
          <a:ln>
            <a:noFill/>
          </a:ln>
          <a:effectLst/>
        </c:spPr>
        <c:dLbl>
          <c:idx val="0"/>
          <c:layout>
            <c:manualLayout>
              <c:x val="0"/>
              <c:y val="-6.1500615006147806E-3"/>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2563EB"/>
          </a:solidFill>
          <a:ln>
            <a:noFill/>
          </a:ln>
          <a:effectLst/>
        </c:spPr>
        <c:dLbl>
          <c:idx val="0"/>
          <c:layout>
            <c:manualLayout>
              <c:x val="4.1254125412540496E-3"/>
              <c:y val="-6.1500615006150061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87408698129852"/>
          <c:y val="0.28772985121727818"/>
          <c:w val="0.66708449638239653"/>
          <c:h val="0.57160774624579547"/>
        </c:manualLayout>
      </c:layout>
      <c:barChart>
        <c:barDir val="col"/>
        <c:grouping val="clustered"/>
        <c:varyColors val="0"/>
        <c:ser>
          <c:idx val="0"/>
          <c:order val="0"/>
          <c:tx>
            <c:strRef>
              <c:f>Analysis!$J$2</c:f>
              <c:strCache>
                <c:ptCount val="1"/>
                <c:pt idx="0">
                  <c:v>Total</c:v>
                </c:pt>
              </c:strCache>
            </c:strRef>
          </c:tx>
          <c:spPr>
            <a:solidFill>
              <a:srgbClr val="2563EB"/>
            </a:solidFill>
            <a:ln>
              <a:noFill/>
            </a:ln>
            <a:effectLst/>
          </c:spPr>
          <c:invertIfNegative val="0"/>
          <c:dPt>
            <c:idx val="0"/>
            <c:invertIfNegative val="0"/>
            <c:bubble3D val="0"/>
            <c:spPr>
              <a:solidFill>
                <a:srgbClr val="2563EB"/>
              </a:solidFill>
              <a:ln>
                <a:noFill/>
              </a:ln>
              <a:effectLst/>
            </c:spPr>
            <c:extLst>
              <c:ext xmlns:c16="http://schemas.microsoft.com/office/drawing/2014/chart" uri="{C3380CC4-5D6E-409C-BE32-E72D297353CC}">
                <c16:uniqueId val="{00000001-776F-4631-9020-ADCECCDB36CE}"/>
              </c:ext>
            </c:extLst>
          </c:dPt>
          <c:dPt>
            <c:idx val="1"/>
            <c:invertIfNegative val="0"/>
            <c:bubble3D val="0"/>
            <c:spPr>
              <a:solidFill>
                <a:srgbClr val="2563EB"/>
              </a:solidFill>
              <a:ln>
                <a:noFill/>
              </a:ln>
              <a:effectLst/>
            </c:spPr>
            <c:extLst>
              <c:ext xmlns:c16="http://schemas.microsoft.com/office/drawing/2014/chart" uri="{C3380CC4-5D6E-409C-BE32-E72D297353CC}">
                <c16:uniqueId val="{00000003-776F-4631-9020-ADCECCDB36CE}"/>
              </c:ext>
            </c:extLst>
          </c:dPt>
          <c:dPt>
            <c:idx val="2"/>
            <c:invertIfNegative val="0"/>
            <c:bubble3D val="0"/>
            <c:spPr>
              <a:solidFill>
                <a:srgbClr val="2563EB"/>
              </a:solidFill>
              <a:ln>
                <a:noFill/>
              </a:ln>
              <a:effectLst/>
            </c:spPr>
            <c:extLst>
              <c:ext xmlns:c16="http://schemas.microsoft.com/office/drawing/2014/chart" uri="{C3380CC4-5D6E-409C-BE32-E72D297353CC}">
                <c16:uniqueId val="{00000005-776F-4631-9020-ADCECCDB36CE}"/>
              </c:ext>
            </c:extLst>
          </c:dPt>
          <c:dPt>
            <c:idx val="3"/>
            <c:invertIfNegative val="0"/>
            <c:bubble3D val="0"/>
            <c:extLst>
              <c:ext xmlns:c16="http://schemas.microsoft.com/office/drawing/2014/chart" uri="{C3380CC4-5D6E-409C-BE32-E72D297353CC}">
                <c16:uniqueId val="{00000007-776F-4631-9020-ADCECCDB36CE}"/>
              </c:ext>
            </c:extLst>
          </c:dPt>
          <c:dLbls>
            <c:dLbl>
              <c:idx val="1"/>
              <c:layout>
                <c:manualLayout>
                  <c:x val="0"/>
                  <c:y val="-6.15006150061478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6F-4631-9020-ADCECCDB36CE}"/>
                </c:ext>
              </c:extLst>
            </c:dLbl>
            <c:dLbl>
              <c:idx val="2"/>
              <c:layout>
                <c:manualLayout>
                  <c:x val="4.1254125412540496E-3"/>
                  <c:y val="-6.15006150061500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6F-4631-9020-ADCECCDB36CE}"/>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Analysis!$I$3:$I$6</c:f>
              <c:strCache>
                <c:ptCount val="3"/>
                <c:pt idx="0">
                  <c:v>West</c:v>
                </c:pt>
                <c:pt idx="1">
                  <c:v>East</c:v>
                </c:pt>
                <c:pt idx="2">
                  <c:v>Central</c:v>
                </c:pt>
              </c:strCache>
            </c:strRef>
          </c:cat>
          <c:val>
            <c:numRef>
              <c:f>Analysis!$J$3:$J$6</c:f>
              <c:numCache>
                <c:formatCode>_("$"* #,##0.00_);_("$"* \(#,##0.00\);_("$"* "-"??_);_(@_)</c:formatCode>
                <c:ptCount val="3"/>
                <c:pt idx="0">
                  <c:v>264.27449999999999</c:v>
                </c:pt>
                <c:pt idx="1">
                  <c:v>313.03949999999998</c:v>
                </c:pt>
                <c:pt idx="2">
                  <c:v>208.35449999999997</c:v>
                </c:pt>
              </c:numCache>
            </c:numRef>
          </c:val>
          <c:extLst>
            <c:ext xmlns:c16="http://schemas.microsoft.com/office/drawing/2014/chart" uri="{C3380CC4-5D6E-409C-BE32-E72D297353CC}">
              <c16:uniqueId val="{00000008-776F-4631-9020-ADCECCDB36CE}"/>
            </c:ext>
          </c:extLst>
        </c:ser>
        <c:dLbls>
          <c:dLblPos val="outEnd"/>
          <c:showLegendKey val="0"/>
          <c:showVal val="1"/>
          <c:showCatName val="0"/>
          <c:showSerName val="0"/>
          <c:showPercent val="0"/>
          <c:showBubbleSize val="0"/>
        </c:dLbls>
        <c:gapWidth val="80"/>
        <c:axId val="297101008"/>
        <c:axId val="297107248"/>
      </c:barChart>
      <c:catAx>
        <c:axId val="29710100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cap="none" spc="20" normalizeH="0" baseline="0">
                <a:solidFill>
                  <a:schemeClr val="accent1">
                    <a:lumMod val="50000"/>
                  </a:schemeClr>
                </a:solidFill>
                <a:latin typeface="+mn-lt"/>
                <a:ea typeface="+mn-ea"/>
                <a:cs typeface="+mn-cs"/>
              </a:defRPr>
            </a:pPr>
            <a:endParaRPr lang="en-US"/>
          </a:p>
        </c:txPr>
        <c:crossAx val="297107248"/>
        <c:crosses val="autoZero"/>
        <c:auto val="1"/>
        <c:lblAlgn val="ctr"/>
        <c:lblOffset val="100"/>
        <c:noMultiLvlLbl val="0"/>
      </c:catAx>
      <c:valAx>
        <c:axId val="297107248"/>
        <c:scaling>
          <c:orientation val="minMax"/>
        </c:scaling>
        <c:delete val="0"/>
        <c:axPos val="l"/>
        <c:majorGridlines>
          <c:spPr>
            <a:ln w="9525" cap="flat" cmpd="sng" algn="ctr">
              <a:solidFill>
                <a:schemeClr val="tx1">
                  <a:lumMod val="5000"/>
                  <a:lumOff val="9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spc="20" baseline="0">
                <a:solidFill>
                  <a:schemeClr val="tx1">
                    <a:lumMod val="65000"/>
                    <a:lumOff val="35000"/>
                  </a:schemeClr>
                </a:solidFill>
                <a:latin typeface="+mn-lt"/>
                <a:ea typeface="+mn-ea"/>
                <a:cs typeface="+mn-cs"/>
              </a:defRPr>
            </a:pPr>
            <a:endParaRPr lang="en-US"/>
          </a:p>
        </c:txPr>
        <c:crossAx val="29710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2563EB"/>
      </a:solidFill>
      <a:round/>
    </a:ln>
    <a:effectLst>
      <a:outerShdw blurRad="50800" dist="76200" dir="2700000" algn="tl" rotWithShape="0">
        <a:schemeClr val="accent5">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[Superstore_Sales_Dashboard.xlsx]Analysis!Segment</c:name>
    <c:fmtId val="10"/>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400">
                <a:solidFill>
                  <a:schemeClr val="accent1">
                    <a:lumMod val="50000"/>
                  </a:schemeClr>
                </a:solidFill>
              </a:rPr>
              <a:t>Total Sales By Segment</a:t>
            </a:r>
          </a:p>
        </c:rich>
      </c:tx>
      <c:layout>
        <c:manualLayout>
          <c:xMode val="edge"/>
          <c:yMode val="edge"/>
          <c:x val="0.30966085673607152"/>
          <c:y val="4.7892720306513412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2563E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563EB"/>
          </a:solidFill>
          <a:ln w="19050">
            <a:solidFill>
              <a:schemeClr val="lt1"/>
            </a:solidFill>
          </a:ln>
          <a:effectLst/>
        </c:spPr>
      </c:pivotFmt>
      <c:pivotFmt>
        <c:idx val="7"/>
        <c:spPr>
          <a:solidFill>
            <a:srgbClr val="3BA2F6"/>
          </a:solidFill>
          <a:ln w="19050">
            <a:solidFill>
              <a:schemeClr val="lt1"/>
            </a:solidFill>
          </a:ln>
          <a:effectLst/>
        </c:spPr>
      </c:pivotFmt>
      <c:pivotFmt>
        <c:idx val="8"/>
        <c:spPr>
          <a:solidFill>
            <a:srgbClr val="BFDBFE"/>
          </a:solidFill>
          <a:ln w="19050">
            <a:solidFill>
              <a:schemeClr val="lt1"/>
            </a:solidFill>
          </a:ln>
          <a:effectLst/>
        </c:spPr>
      </c:pivotFmt>
      <c:pivotFmt>
        <c:idx val="9"/>
        <c:spPr>
          <a:solidFill>
            <a:srgbClr val="2563E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2563EB"/>
          </a:solidFill>
          <a:ln w="19050">
            <a:solidFill>
              <a:schemeClr val="lt1"/>
            </a:solidFill>
          </a:ln>
          <a:effectLst/>
        </c:spPr>
      </c:pivotFmt>
      <c:pivotFmt>
        <c:idx val="11"/>
        <c:spPr>
          <a:solidFill>
            <a:srgbClr val="3BA2F6"/>
          </a:solidFill>
          <a:ln w="19050">
            <a:solidFill>
              <a:schemeClr val="lt1"/>
            </a:solidFill>
          </a:ln>
          <a:effectLst/>
        </c:spPr>
      </c:pivotFmt>
      <c:pivotFmt>
        <c:idx val="12"/>
        <c:spPr>
          <a:solidFill>
            <a:srgbClr val="BFDBFE"/>
          </a:solidFill>
          <a:ln w="19050">
            <a:solidFill>
              <a:schemeClr val="lt1"/>
            </a:solidFill>
          </a:ln>
          <a:effectLst/>
        </c:spPr>
      </c:pivotFmt>
      <c:pivotFmt>
        <c:idx val="13"/>
        <c:spPr>
          <a:solidFill>
            <a:srgbClr val="2563E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2563EB"/>
          </a:solidFill>
          <a:ln w="19050">
            <a:solidFill>
              <a:schemeClr val="lt1"/>
            </a:solidFill>
          </a:ln>
          <a:effectLst/>
        </c:spPr>
      </c:pivotFmt>
      <c:pivotFmt>
        <c:idx val="15"/>
        <c:spPr>
          <a:solidFill>
            <a:srgbClr val="3BA2F6"/>
          </a:solidFill>
          <a:ln w="19050">
            <a:solidFill>
              <a:schemeClr val="lt1"/>
            </a:solidFill>
          </a:ln>
          <a:effectLst/>
        </c:spPr>
      </c:pivotFmt>
      <c:pivotFmt>
        <c:idx val="16"/>
        <c:spPr>
          <a:solidFill>
            <a:srgbClr val="BFDBFE"/>
          </a:solidFill>
          <a:ln w="19050">
            <a:solidFill>
              <a:schemeClr val="lt1"/>
            </a:solidFill>
          </a:ln>
          <a:effectLst/>
        </c:spPr>
      </c:pivotFmt>
    </c:pivotFmts>
    <c:plotArea>
      <c:layout/>
      <c:pieChart>
        <c:varyColors val="1"/>
        <c:ser>
          <c:idx val="0"/>
          <c:order val="0"/>
          <c:tx>
            <c:strRef>
              <c:f>Analysis!$J$13</c:f>
              <c:strCache>
                <c:ptCount val="1"/>
                <c:pt idx="0">
                  <c:v>Total</c:v>
                </c:pt>
              </c:strCache>
            </c:strRef>
          </c:tx>
          <c:spPr>
            <a:solidFill>
              <a:srgbClr val="2563EB"/>
            </a:solidFill>
          </c:spPr>
          <c:dPt>
            <c:idx val="0"/>
            <c:bubble3D val="0"/>
            <c:spPr>
              <a:solidFill>
                <a:srgbClr val="2563EB"/>
              </a:solidFill>
              <a:ln w="19050">
                <a:solidFill>
                  <a:schemeClr val="lt1"/>
                </a:solidFill>
              </a:ln>
              <a:effectLst/>
            </c:spPr>
            <c:extLst>
              <c:ext xmlns:c16="http://schemas.microsoft.com/office/drawing/2014/chart" uri="{C3380CC4-5D6E-409C-BE32-E72D297353CC}">
                <c16:uniqueId val="{00000001-49F1-4C23-B952-B1515EDAB958}"/>
              </c:ext>
            </c:extLst>
          </c:dPt>
          <c:dPt>
            <c:idx val="1"/>
            <c:bubble3D val="0"/>
            <c:spPr>
              <a:solidFill>
                <a:srgbClr val="3BA2F6"/>
              </a:solidFill>
              <a:ln w="19050">
                <a:solidFill>
                  <a:schemeClr val="lt1"/>
                </a:solidFill>
              </a:ln>
              <a:effectLst/>
            </c:spPr>
            <c:extLst>
              <c:ext xmlns:c16="http://schemas.microsoft.com/office/drawing/2014/chart" uri="{C3380CC4-5D6E-409C-BE32-E72D297353CC}">
                <c16:uniqueId val="{00000003-49F1-4C23-B952-B1515EDAB958}"/>
              </c:ext>
            </c:extLst>
          </c:dPt>
          <c:dPt>
            <c:idx val="2"/>
            <c:bubble3D val="0"/>
            <c:spPr>
              <a:solidFill>
                <a:srgbClr val="BFDBFE"/>
              </a:solidFill>
              <a:ln w="19050">
                <a:solidFill>
                  <a:schemeClr val="lt1"/>
                </a:solidFill>
              </a:ln>
              <a:effectLst/>
            </c:spPr>
            <c:extLst>
              <c:ext xmlns:c16="http://schemas.microsoft.com/office/drawing/2014/chart" uri="{C3380CC4-5D6E-409C-BE32-E72D297353CC}">
                <c16:uniqueId val="{00000005-49F1-4C23-B952-B1515EDAB958}"/>
              </c:ext>
            </c:extLst>
          </c:dPt>
          <c:cat>
            <c:strRef>
              <c:f>Analysis!$I$14:$I$17</c:f>
              <c:strCache>
                <c:ptCount val="3"/>
                <c:pt idx="0">
                  <c:v>Consumer</c:v>
                </c:pt>
                <c:pt idx="1">
                  <c:v>Corporate</c:v>
                </c:pt>
                <c:pt idx="2">
                  <c:v>Home Office</c:v>
                </c:pt>
              </c:strCache>
            </c:strRef>
          </c:cat>
          <c:val>
            <c:numRef>
              <c:f>Analysis!$J$14:$J$17</c:f>
              <c:numCache>
                <c:formatCode>0.00%</c:formatCode>
                <c:ptCount val="3"/>
                <c:pt idx="0">
                  <c:v>1.1885721080952523E-2</c:v>
                </c:pt>
                <c:pt idx="1">
                  <c:v>0.76742396765466603</c:v>
                </c:pt>
                <c:pt idx="2">
                  <c:v>0.22069031126438149</c:v>
                </c:pt>
              </c:numCache>
            </c:numRef>
          </c:val>
          <c:extLst>
            <c:ext xmlns:c16="http://schemas.microsoft.com/office/drawing/2014/chart" uri="{C3380CC4-5D6E-409C-BE32-E72D297353CC}">
              <c16:uniqueId val="{00000006-49F1-4C23-B952-B1515EDAB95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67999291643503"/>
          <c:y val="0.27689345943825988"/>
          <c:w val="0.2708586946068739"/>
          <c:h val="0.45273799288020028"/>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563EB"/>
      </a:solidFill>
      <a:round/>
    </a:ln>
    <a:effectLst>
      <a:outerShdw blurRad="50800" dist="76200" dir="5400000" algn="ctr" rotWithShape="0">
        <a:schemeClr val="accent5">
          <a:lumMod val="60000"/>
          <a:lumOff val="40000"/>
          <a:alpha val="40000"/>
        </a:scheme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[Superstore_Sales_Dashboard.xlsx]Analysis!Region</c:name>
    <c:fmtId val="2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400" baseline="0">
                <a:solidFill>
                  <a:schemeClr val="accent1">
                    <a:lumMod val="50000"/>
                  </a:schemeClr>
                </a:solidFill>
                <a:latin typeface="+mn-lt"/>
              </a:rPr>
              <a:t>Total Profit By Region</a:t>
            </a:r>
          </a:p>
        </c:rich>
      </c:tx>
      <c:layout>
        <c:manualLayout>
          <c:xMode val="edge"/>
          <c:yMode val="edge"/>
          <c:x val="0.34786155202821867"/>
          <c:y val="3.3003300330033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layout>
            <c:manualLayout>
              <c:x val="4.4091710758377353E-3"/>
              <c:y val="-5.5005067435877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8650793650793643E-2"/>
                  <c:h val="7.6925409076340698E-2"/>
                </c:manualLayout>
              </c15:layout>
            </c:ext>
          </c:extLst>
        </c:dLbl>
      </c:pivotFmt>
      <c:pivotFmt>
        <c:idx val="4"/>
        <c:spPr>
          <a:solidFill>
            <a:srgbClr val="00B050"/>
          </a:solidFill>
          <a:ln>
            <a:noFill/>
          </a:ln>
          <a:effectLst/>
        </c:spPr>
        <c:dLbl>
          <c:idx val="0"/>
          <c:layout>
            <c:manualLayout>
              <c:x val="-8.0833869257269799E-17"/>
              <c:y val="-3.3003300330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dLbl>
          <c:idx val="0"/>
          <c:layout>
            <c:manualLayout>
              <c:x val="0"/>
              <c:y val="-7.1507150715071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dLbl>
          <c:idx val="0"/>
          <c:layout>
            <c:manualLayout>
              <c:x val="0"/>
              <c:y val="-3.3003300330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dLbl>
          <c:idx val="0"/>
          <c:layout>
            <c:manualLayout>
              <c:x val="0"/>
              <c:y val="-3.3003300330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dLbl>
          <c:idx val="0"/>
          <c:layout>
            <c:manualLayout>
              <c:x val="4.4091710758377353E-3"/>
              <c:y val="-5.5005067435877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8650793650793643E-2"/>
                  <c:h val="7.6925409076340698E-2"/>
                </c:manualLayout>
              </c15:layout>
            </c:ext>
          </c:extLst>
        </c:dLbl>
      </c:pivotFmt>
      <c:pivotFmt>
        <c:idx val="10"/>
        <c:spPr>
          <a:solidFill>
            <a:srgbClr val="00B050"/>
          </a:solidFill>
          <a:ln>
            <a:noFill/>
          </a:ln>
          <a:effectLst/>
        </c:spPr>
        <c:dLbl>
          <c:idx val="0"/>
          <c:layout>
            <c:manualLayout>
              <c:x val="-8.0833869257269799E-17"/>
              <c:y val="-3.3003300330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dLbl>
          <c:idx val="0"/>
          <c:layout>
            <c:manualLayout>
              <c:x val="0"/>
              <c:y val="-7.1507150715071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563EB"/>
          </a:solidFill>
          <a:ln>
            <a:noFill/>
          </a:ln>
          <a:effectLst/>
        </c:spPr>
      </c:pivotFmt>
      <c:pivotFmt>
        <c:idx val="14"/>
        <c:spPr>
          <a:solidFill>
            <a:srgbClr val="2563EB"/>
          </a:solidFill>
          <a:ln>
            <a:noFill/>
          </a:ln>
          <a:effectLst/>
        </c:spPr>
      </c:pivotFmt>
      <c:pivotFmt>
        <c:idx val="15"/>
        <c:spPr>
          <a:solidFill>
            <a:srgbClr val="2563EB"/>
          </a:solidFill>
          <a:ln>
            <a:noFill/>
          </a:ln>
          <a:effectLst/>
        </c:spPr>
        <c:dLbl>
          <c:idx val="0"/>
          <c:layout>
            <c:manualLayout>
              <c:x val="0"/>
              <c:y val="-6.1500615006147806E-3"/>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563EB"/>
          </a:solidFill>
          <a:ln>
            <a:noFill/>
          </a:ln>
          <a:effectLst/>
        </c:spPr>
        <c:dLbl>
          <c:idx val="0"/>
          <c:layout>
            <c:manualLayout>
              <c:x val="4.1254125412540496E-3"/>
              <c:y val="-6.1500615006150061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87408698129852"/>
          <c:y val="0.28772985121727818"/>
          <c:w val="0.66708449638239653"/>
          <c:h val="0.57160774624579547"/>
        </c:manualLayout>
      </c:layout>
      <c:barChart>
        <c:barDir val="col"/>
        <c:grouping val="clustered"/>
        <c:varyColors val="0"/>
        <c:ser>
          <c:idx val="0"/>
          <c:order val="0"/>
          <c:tx>
            <c:strRef>
              <c:f>Analysis!$J$2</c:f>
              <c:strCache>
                <c:ptCount val="1"/>
                <c:pt idx="0">
                  <c:v>Total</c:v>
                </c:pt>
              </c:strCache>
            </c:strRef>
          </c:tx>
          <c:spPr>
            <a:solidFill>
              <a:srgbClr val="2563EB"/>
            </a:solidFill>
            <a:ln>
              <a:noFill/>
            </a:ln>
            <a:effectLst/>
          </c:spPr>
          <c:invertIfNegative val="0"/>
          <c:dPt>
            <c:idx val="0"/>
            <c:invertIfNegative val="0"/>
            <c:bubble3D val="0"/>
            <c:spPr>
              <a:solidFill>
                <a:srgbClr val="2563EB"/>
              </a:solidFill>
              <a:ln>
                <a:noFill/>
              </a:ln>
              <a:effectLst/>
            </c:spPr>
            <c:extLst>
              <c:ext xmlns:c16="http://schemas.microsoft.com/office/drawing/2014/chart" uri="{C3380CC4-5D6E-409C-BE32-E72D297353CC}">
                <c16:uniqueId val="{00000001-4231-4423-9EF4-F2E3011853B9}"/>
              </c:ext>
            </c:extLst>
          </c:dPt>
          <c:dPt>
            <c:idx val="1"/>
            <c:invertIfNegative val="0"/>
            <c:bubble3D val="0"/>
            <c:spPr>
              <a:solidFill>
                <a:srgbClr val="2563EB"/>
              </a:solidFill>
              <a:ln>
                <a:noFill/>
              </a:ln>
              <a:effectLst/>
            </c:spPr>
            <c:extLst>
              <c:ext xmlns:c16="http://schemas.microsoft.com/office/drawing/2014/chart" uri="{C3380CC4-5D6E-409C-BE32-E72D297353CC}">
                <c16:uniqueId val="{00000003-4231-4423-9EF4-F2E3011853B9}"/>
              </c:ext>
            </c:extLst>
          </c:dPt>
          <c:dPt>
            <c:idx val="2"/>
            <c:invertIfNegative val="0"/>
            <c:bubble3D val="0"/>
            <c:spPr>
              <a:solidFill>
                <a:srgbClr val="2563EB"/>
              </a:solidFill>
              <a:ln>
                <a:noFill/>
              </a:ln>
              <a:effectLst/>
            </c:spPr>
            <c:extLst>
              <c:ext xmlns:c16="http://schemas.microsoft.com/office/drawing/2014/chart" uri="{C3380CC4-5D6E-409C-BE32-E72D297353CC}">
                <c16:uniqueId val="{00000005-4231-4423-9EF4-F2E3011853B9}"/>
              </c:ext>
            </c:extLst>
          </c:dPt>
          <c:dLbls>
            <c:dLbl>
              <c:idx val="1"/>
              <c:layout>
                <c:manualLayout>
                  <c:x val="0"/>
                  <c:y val="-6.15006150061478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31-4423-9EF4-F2E3011853B9}"/>
                </c:ext>
              </c:extLst>
            </c:dLbl>
            <c:dLbl>
              <c:idx val="2"/>
              <c:layout>
                <c:manualLayout>
                  <c:x val="4.1254125412540496E-3"/>
                  <c:y val="-6.15006150061500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31-4423-9EF4-F2E3011853B9}"/>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Analysis!$I$3:$I$6</c:f>
              <c:strCache>
                <c:ptCount val="3"/>
                <c:pt idx="0">
                  <c:v>West</c:v>
                </c:pt>
                <c:pt idx="1">
                  <c:v>East</c:v>
                </c:pt>
                <c:pt idx="2">
                  <c:v>Central</c:v>
                </c:pt>
              </c:strCache>
            </c:strRef>
          </c:cat>
          <c:val>
            <c:numRef>
              <c:f>Analysis!$J$3:$J$6</c:f>
              <c:numCache>
                <c:formatCode>_("$"* #,##0.00_);_("$"* \(#,##0.00\);_("$"* "-"??_);_(@_)</c:formatCode>
                <c:ptCount val="3"/>
                <c:pt idx="0">
                  <c:v>264.27449999999999</c:v>
                </c:pt>
                <c:pt idx="1">
                  <c:v>313.03949999999998</c:v>
                </c:pt>
                <c:pt idx="2">
                  <c:v>208.35449999999997</c:v>
                </c:pt>
              </c:numCache>
            </c:numRef>
          </c:val>
          <c:extLst>
            <c:ext xmlns:c16="http://schemas.microsoft.com/office/drawing/2014/chart" uri="{C3380CC4-5D6E-409C-BE32-E72D297353CC}">
              <c16:uniqueId val="{00000008-4231-4423-9EF4-F2E3011853B9}"/>
            </c:ext>
          </c:extLst>
        </c:ser>
        <c:dLbls>
          <c:dLblPos val="outEnd"/>
          <c:showLegendKey val="0"/>
          <c:showVal val="1"/>
          <c:showCatName val="0"/>
          <c:showSerName val="0"/>
          <c:showPercent val="0"/>
          <c:showBubbleSize val="0"/>
        </c:dLbls>
        <c:gapWidth val="80"/>
        <c:axId val="297101008"/>
        <c:axId val="297107248"/>
      </c:barChart>
      <c:catAx>
        <c:axId val="29710100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97107248"/>
        <c:crosses val="autoZero"/>
        <c:auto val="1"/>
        <c:lblAlgn val="ctr"/>
        <c:lblOffset val="100"/>
        <c:noMultiLvlLbl val="0"/>
      </c:catAx>
      <c:valAx>
        <c:axId val="297107248"/>
        <c:scaling>
          <c:orientation val="minMax"/>
        </c:scaling>
        <c:delete val="0"/>
        <c:axPos val="l"/>
        <c:majorGridlines>
          <c:spPr>
            <a:ln w="9525" cap="flat" cmpd="sng" algn="ctr">
              <a:solidFill>
                <a:schemeClr val="tx1">
                  <a:lumMod val="5000"/>
                  <a:lumOff val="9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spc="20" baseline="0">
                <a:solidFill>
                  <a:schemeClr val="tx1">
                    <a:lumMod val="65000"/>
                    <a:lumOff val="35000"/>
                  </a:schemeClr>
                </a:solidFill>
                <a:latin typeface="+mn-lt"/>
                <a:ea typeface="+mn-ea"/>
                <a:cs typeface="+mn-cs"/>
              </a:defRPr>
            </a:pPr>
            <a:endParaRPr lang="en-US"/>
          </a:p>
        </c:txPr>
        <c:crossAx val="29710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2563EB"/>
      </a:solidFill>
      <a:round/>
    </a:ln>
    <a:effectLst>
      <a:outerShdw blurRad="50800" dist="76200" dir="2700000" algn="tl" rotWithShape="0">
        <a:schemeClr val="accent5">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[Superstore_Sales_Dashboard.xlsx]Analysis!PivotTable7</c:name>
    <c:fmtId val="29"/>
  </c:pivotSource>
  <c:chart>
    <c:title>
      <c:tx>
        <c:rich>
          <a:bodyPr/>
          <a:lstStyle/>
          <a:p>
            <a:pPr>
              <a:defRPr/>
            </a:pPr>
            <a:r>
              <a:rPr lang="en-US" sz="1400" b="0">
                <a:solidFill>
                  <a:schemeClr val="accent1">
                    <a:lumMod val="50000"/>
                  </a:schemeClr>
                </a:solidFill>
              </a:rPr>
              <a:t>Total sales By</a:t>
            </a:r>
            <a:r>
              <a:rPr lang="en-US" sz="1400" b="0" baseline="0">
                <a:solidFill>
                  <a:schemeClr val="accent1">
                    <a:lumMod val="50000"/>
                  </a:schemeClr>
                </a:solidFill>
              </a:rPr>
              <a:t> Category</a:t>
            </a:r>
            <a:endParaRPr lang="en-US" sz="1400" b="0">
              <a:solidFill>
                <a:schemeClr val="accent1">
                  <a:lumMod val="50000"/>
                </a:schemeClr>
              </a:solidFill>
            </a:endParaRPr>
          </a:p>
        </c:rich>
      </c:tx>
      <c:layout>
        <c:manualLayout>
          <c:xMode val="edge"/>
          <c:yMode val="edge"/>
          <c:x val="0.38998792034959123"/>
          <c:y val="4.5819014891179836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563EB"/>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41568711994442"/>
          <c:y val="0.12474046414301306"/>
          <c:w val="0.68641852314192442"/>
          <c:h val="0.74463606451367492"/>
        </c:manualLayout>
      </c:layout>
      <c:barChart>
        <c:barDir val="col"/>
        <c:grouping val="clustered"/>
        <c:varyColors val="0"/>
        <c:ser>
          <c:idx val="0"/>
          <c:order val="0"/>
          <c:tx>
            <c:strRef>
              <c:f>Analysis!$F$10</c:f>
              <c:strCache>
                <c:ptCount val="1"/>
                <c:pt idx="0">
                  <c:v>Total</c:v>
                </c:pt>
              </c:strCache>
            </c:strRef>
          </c:tx>
          <c:spPr>
            <a:solidFill>
              <a:srgbClr val="2563EB"/>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Analysis!$F$11</c:f>
              <c:strCache>
                <c:ptCount val="1"/>
                <c:pt idx="0">
                  <c:v>Total</c:v>
                </c:pt>
              </c:strCache>
            </c:strRef>
          </c:cat>
          <c:val>
            <c:numRef>
              <c:f>Analysis!$F$11</c:f>
              <c:numCache>
                <c:formatCode>_("$"* #,##0.00_);_("$"* \(#,##0.00\);_("$"* "-"??_);_(@_)</c:formatCode>
                <c:ptCount val="1"/>
                <c:pt idx="0">
                  <c:v>1681.8500000000001</c:v>
                </c:pt>
              </c:numCache>
            </c:numRef>
          </c:val>
          <c:extLst>
            <c:ext xmlns:c16="http://schemas.microsoft.com/office/drawing/2014/chart" uri="{C3380CC4-5D6E-409C-BE32-E72D297353CC}">
              <c16:uniqueId val="{00000000-B96B-4F55-9D5D-D953CB183AD7}"/>
            </c:ext>
          </c:extLst>
        </c:ser>
        <c:dLbls>
          <c:showLegendKey val="0"/>
          <c:showVal val="0"/>
          <c:showCatName val="0"/>
          <c:showSerName val="0"/>
          <c:showPercent val="0"/>
          <c:showBubbleSize val="0"/>
        </c:dLbls>
        <c:gapWidth val="186"/>
        <c:axId val="297149488"/>
        <c:axId val="297134128"/>
      </c:barChart>
      <c:catAx>
        <c:axId val="297149488"/>
        <c:scaling>
          <c:orientation val="minMax"/>
        </c:scaling>
        <c:delete val="0"/>
        <c:axPos val="b"/>
        <c:numFmt formatCode="General" sourceLinked="1"/>
        <c:majorTickMark val="none"/>
        <c:minorTickMark val="none"/>
        <c:tickLblPos val="nextTo"/>
        <c:spPr>
          <a:noFill/>
          <a:ln w="9525" cap="flat" cmpd="sng" algn="ctr">
            <a:solidFill>
              <a:srgbClr val="93C5FD"/>
            </a:solidFill>
            <a:round/>
          </a:ln>
          <a:effectLst/>
        </c:spPr>
        <c:txPr>
          <a:bodyPr rot="-600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crossAx val="297134128"/>
        <c:crosses val="autoZero"/>
        <c:auto val="1"/>
        <c:lblAlgn val="ctr"/>
        <c:lblOffset val="100"/>
        <c:noMultiLvlLbl val="0"/>
      </c:catAx>
      <c:valAx>
        <c:axId val="297134128"/>
        <c:scaling>
          <c:orientation val="minMax"/>
        </c:scaling>
        <c:delete val="1"/>
        <c:axPos val="l"/>
        <c:numFmt formatCode="_(&quot;$&quot;* #,##0.00_);_(&quot;$&quot;* \(#,##0.00\);_(&quot;$&quot;* &quot;-&quot;??_);_(@_)" sourceLinked="1"/>
        <c:majorTickMark val="none"/>
        <c:minorTickMark val="none"/>
        <c:tickLblPos val="nextTo"/>
        <c:crossAx val="297149488"/>
        <c:crosses val="autoZero"/>
        <c:crossBetween val="between"/>
      </c:valAx>
    </c:plotArea>
    <c:plotVisOnly val="1"/>
    <c:dispBlanksAs val="gap"/>
    <c:showDLblsOverMax val="0"/>
    <c:extLst/>
  </c:chart>
  <c:spPr>
    <a:solidFill>
      <a:schemeClr val="bg1"/>
    </a:solidFill>
    <a:ln w="9525" cap="flat" cmpd="sng" algn="ctr">
      <a:solidFill>
        <a:srgbClr val="2563EB"/>
      </a:solidFill>
      <a:round/>
    </a:ln>
    <a:effectLst>
      <a:outerShdw blurRad="50800" dist="76200" dir="2700000" algn="tl" rotWithShape="0">
        <a:schemeClr val="accent5">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[Superstore_Sales_Dashboard.xlsx]Analysis!Top City</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accent1">
                    <a:lumMod val="50000"/>
                  </a:schemeClr>
                </a:solidFill>
              </a:rPr>
              <a:t>Top</a:t>
            </a:r>
            <a:r>
              <a:rPr lang="en-US" sz="1400" baseline="0">
                <a:solidFill>
                  <a:schemeClr val="accent1">
                    <a:lumMod val="50000"/>
                  </a:schemeClr>
                </a:solidFill>
              </a:rPr>
              <a:t> City</a:t>
            </a:r>
            <a:r>
              <a:rPr lang="en-US" sz="1400">
                <a:solidFill>
                  <a:schemeClr val="accent1">
                    <a:lumMod val="50000"/>
                  </a:schemeClr>
                </a:solidFill>
              </a:rPr>
              <a:t> By</a:t>
            </a:r>
            <a:r>
              <a:rPr lang="en-US" sz="1400" baseline="0">
                <a:solidFill>
                  <a:schemeClr val="accent1">
                    <a:lumMod val="50000"/>
                  </a:schemeClr>
                </a:solidFill>
              </a:rPr>
              <a:t> Sales</a:t>
            </a:r>
            <a:endParaRPr lang="en-US" sz="1400">
              <a:solidFill>
                <a:schemeClr val="accent1">
                  <a:lumMod val="50000"/>
                </a:schemeClr>
              </a:solidFill>
            </a:endParaRPr>
          </a:p>
        </c:rich>
      </c:tx>
      <c:layout>
        <c:manualLayout>
          <c:xMode val="edge"/>
          <c:yMode val="edge"/>
          <c:x val="0.30900651307475452"/>
          <c:y val="3.59713608807748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2563EB"/>
          </a:solidFill>
          <a:ln w="19050">
            <a:solidFill>
              <a:schemeClr val="lt1"/>
            </a:solidFill>
          </a:ln>
          <a:effectLst/>
        </c:spPr>
      </c:pivotFmt>
      <c:pivotFmt>
        <c:idx val="10"/>
        <c:spPr>
          <a:solidFill>
            <a:srgbClr val="60A5FA"/>
          </a:solidFill>
          <a:ln w="19050">
            <a:solidFill>
              <a:schemeClr val="lt1"/>
            </a:solidFill>
          </a:ln>
          <a:effectLst/>
        </c:spPr>
      </c:pivotFmt>
      <c:pivotFmt>
        <c:idx val="11"/>
        <c:spPr>
          <a:solidFill>
            <a:srgbClr val="93C5FD"/>
          </a:solidFill>
          <a:ln w="19050">
            <a:solidFill>
              <a:schemeClr val="lt1"/>
            </a:solidFill>
          </a:ln>
          <a:effectLst/>
        </c:spPr>
      </c:pivotFmt>
      <c:pivotFmt>
        <c:idx val="12"/>
        <c:spPr>
          <a:solidFill>
            <a:srgbClr val="BFDBFE"/>
          </a:solidFill>
          <a:ln w="19050">
            <a:solidFill>
              <a:schemeClr val="lt1"/>
            </a:solidFill>
          </a:ln>
          <a:effectLst/>
        </c:spPr>
      </c:pivotFmt>
      <c:pivotFmt>
        <c:idx val="13"/>
        <c:spPr>
          <a:solidFill>
            <a:srgbClr val="3BA2F6"/>
          </a:solidFill>
          <a:ln w="19050">
            <a:solidFill>
              <a:schemeClr val="lt1"/>
            </a:solidFill>
          </a:ln>
          <a:effectLst/>
        </c:spPr>
      </c:pivotFmt>
      <c:pivotFmt>
        <c:idx val="14"/>
        <c:spPr>
          <a:solidFill>
            <a:schemeClr val="accent1">
              <a:shade val="53000"/>
            </a:schemeClr>
          </a:solidFill>
          <a:ln w="19050">
            <a:solidFill>
              <a:schemeClr val="lt1"/>
            </a:solidFill>
          </a:ln>
          <a:effectLst/>
        </c:spPr>
      </c:pivotFmt>
      <c:pivotFmt>
        <c:idx val="15"/>
        <c:spPr>
          <a:solidFill>
            <a:schemeClr val="accent1">
              <a:shade val="76000"/>
            </a:schemeClr>
          </a:solidFill>
          <a:ln w="19050">
            <a:solidFill>
              <a:schemeClr val="lt1"/>
            </a:solidFill>
          </a:ln>
          <a:effectLst/>
        </c:spPr>
      </c:pivotFmt>
      <c:pivotFmt>
        <c:idx val="16"/>
        <c:spPr>
          <a:solidFill>
            <a:schemeClr val="accent1">
              <a:tint val="77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hade val="53000"/>
            </a:schemeClr>
          </a:solidFill>
          <a:ln w="19050">
            <a:solidFill>
              <a:schemeClr val="lt1"/>
            </a:solidFill>
          </a:ln>
          <a:effectLst/>
        </c:spPr>
      </c:pivotFmt>
      <c:pivotFmt>
        <c:idx val="19"/>
        <c:spPr>
          <a:solidFill>
            <a:schemeClr val="accent1">
              <a:shade val="76000"/>
            </a:schemeClr>
          </a:solidFill>
          <a:ln w="19050">
            <a:solidFill>
              <a:schemeClr val="lt1"/>
            </a:solidFill>
          </a:ln>
          <a:effectLst/>
        </c:spPr>
      </c:pivotFmt>
      <c:pivotFmt>
        <c:idx val="20"/>
        <c:spPr>
          <a:solidFill>
            <a:srgbClr val="60A5FA"/>
          </a:solidFill>
          <a:ln w="19050">
            <a:solidFill>
              <a:schemeClr val="lt1"/>
            </a:solidFill>
          </a:ln>
          <a:effectLst/>
        </c:spPr>
      </c:pivotFmt>
      <c:pivotFmt>
        <c:idx val="21"/>
        <c:spPr>
          <a:solidFill>
            <a:schemeClr val="accent1">
              <a:tint val="77000"/>
            </a:schemeClr>
          </a:solidFill>
          <a:ln w="19050">
            <a:solidFill>
              <a:schemeClr val="lt1"/>
            </a:solidFill>
          </a:ln>
          <a:effectLst/>
        </c:spPr>
      </c:pivotFmt>
      <c:pivotFmt>
        <c:idx val="22"/>
        <c:spPr>
          <a:solidFill>
            <a:srgbClr val="BFDBFE"/>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hade val="53000"/>
            </a:schemeClr>
          </a:solidFill>
          <a:ln w="19050">
            <a:solidFill>
              <a:schemeClr val="lt1"/>
            </a:solidFill>
          </a:ln>
          <a:effectLst/>
        </c:spPr>
      </c:pivotFmt>
      <c:pivotFmt>
        <c:idx val="25"/>
        <c:spPr>
          <a:solidFill>
            <a:schemeClr val="accent1">
              <a:shade val="76000"/>
            </a:schemeClr>
          </a:solidFill>
          <a:ln w="19050">
            <a:solidFill>
              <a:schemeClr val="lt1"/>
            </a:solidFill>
          </a:ln>
          <a:effectLst/>
        </c:spPr>
      </c:pivotFmt>
      <c:pivotFmt>
        <c:idx val="26"/>
        <c:spPr>
          <a:solidFill>
            <a:srgbClr val="60A5FA"/>
          </a:solidFill>
          <a:ln w="19050">
            <a:solidFill>
              <a:schemeClr val="lt1"/>
            </a:solidFill>
          </a:ln>
          <a:effectLst/>
        </c:spPr>
      </c:pivotFmt>
      <c:pivotFmt>
        <c:idx val="27"/>
        <c:spPr>
          <a:solidFill>
            <a:schemeClr val="accent1">
              <a:tint val="77000"/>
            </a:schemeClr>
          </a:solidFill>
          <a:ln w="19050">
            <a:solidFill>
              <a:schemeClr val="lt1"/>
            </a:solidFill>
          </a:ln>
          <a:effectLst/>
        </c:spPr>
      </c:pivotFmt>
      <c:pivotFmt>
        <c:idx val="28"/>
        <c:spPr>
          <a:solidFill>
            <a:srgbClr val="BFDBFE"/>
          </a:solidFill>
          <a:ln w="19050">
            <a:solidFill>
              <a:schemeClr val="lt1"/>
            </a:solidFill>
          </a:ln>
          <a:effectLst/>
        </c:spPr>
      </c:pivotFmt>
      <c:pivotFmt>
        <c:idx val="29"/>
        <c:spPr>
          <a:solidFill>
            <a:schemeClr val="accent1">
              <a:shade val="53000"/>
            </a:schemeClr>
          </a:solidFill>
          <a:ln w="19050">
            <a:solidFill>
              <a:schemeClr val="lt1"/>
            </a:solidFill>
          </a:ln>
          <a:effectLst/>
        </c:spPr>
      </c:pivotFmt>
      <c:pivotFmt>
        <c:idx val="30"/>
        <c:spPr>
          <a:solidFill>
            <a:schemeClr val="accent1">
              <a:shade val="76000"/>
            </a:schemeClr>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tint val="77000"/>
            </a:schemeClr>
          </a:solidFill>
          <a:ln w="19050">
            <a:solidFill>
              <a:schemeClr val="lt1"/>
            </a:solidFill>
          </a:ln>
          <a:effectLst/>
        </c:spPr>
      </c:pivotFmt>
      <c:pivotFmt>
        <c:idx val="33"/>
        <c:spPr>
          <a:solidFill>
            <a:schemeClr val="accent1">
              <a:tint val="54000"/>
            </a:schemeClr>
          </a:solidFill>
          <a:ln w="19050">
            <a:solidFill>
              <a:schemeClr val="lt1"/>
            </a:solidFill>
          </a:ln>
          <a:effectLst/>
        </c:spPr>
      </c:pivotFmt>
      <c:pivotFmt>
        <c:idx val="34"/>
        <c:spPr>
          <a:solidFill>
            <a:schemeClr val="accent1">
              <a:shade val="65000"/>
            </a:schemeClr>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tint val="65000"/>
            </a:schemeClr>
          </a:solidFill>
          <a:ln w="19050">
            <a:solidFill>
              <a:schemeClr val="lt1"/>
            </a:solidFill>
          </a:ln>
          <a:effectLst/>
        </c:spPr>
      </c:pivotFmt>
    </c:pivotFmts>
    <c:plotArea>
      <c:layout>
        <c:manualLayout>
          <c:layoutTarget val="inner"/>
          <c:xMode val="edge"/>
          <c:yMode val="edge"/>
          <c:x val="9.8109638004651126E-2"/>
          <c:y val="0.19712563584419204"/>
          <c:w val="0.50992594675665537"/>
          <c:h val="0.77039171812156571"/>
        </c:manualLayout>
      </c:layout>
      <c:doughnutChart>
        <c:varyColors val="1"/>
        <c:ser>
          <c:idx val="0"/>
          <c:order val="0"/>
          <c:tx>
            <c:strRef>
              <c:f>Analysis!$J$23</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ED45-4B6A-984B-572B747752D6}"/>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ED45-4B6A-984B-572B747752D6}"/>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ED45-4B6A-984B-572B747752D6}"/>
              </c:ext>
            </c:extLst>
          </c:dPt>
          <c:dPt>
            <c:idx val="3"/>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7-ED45-4B6A-984B-572B747752D6}"/>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ED45-4B6A-984B-572B747752D6}"/>
              </c:ext>
            </c:extLst>
          </c:dPt>
          <c:dLbls>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Analysis!$I$24:$I$29</c:f>
              <c:strCache>
                <c:ptCount val="5"/>
                <c:pt idx="0">
                  <c:v>Eagan</c:v>
                </c:pt>
                <c:pt idx="1">
                  <c:v>Houston</c:v>
                </c:pt>
                <c:pt idx="2">
                  <c:v>Naperville</c:v>
                </c:pt>
                <c:pt idx="3">
                  <c:v>Richardson</c:v>
                </c:pt>
                <c:pt idx="4">
                  <c:v>Rochester</c:v>
                </c:pt>
              </c:strCache>
            </c:strRef>
          </c:cat>
          <c:val>
            <c:numRef>
              <c:f>Analysis!$J$24:$J$29</c:f>
              <c:numCache>
                <c:formatCode>0.00%</c:formatCode>
                <c:ptCount val="5"/>
                <c:pt idx="0">
                  <c:v>2.7338942236227959E-2</c:v>
                </c:pt>
                <c:pt idx="1">
                  <c:v>0.22069031126438146</c:v>
                </c:pt>
                <c:pt idx="2">
                  <c:v>8.7503641822992528E-2</c:v>
                </c:pt>
                <c:pt idx="3">
                  <c:v>0.65258138359544549</c:v>
                </c:pt>
                <c:pt idx="4">
                  <c:v>1.1885721080952521E-2</c:v>
                </c:pt>
              </c:numCache>
            </c:numRef>
          </c:val>
          <c:extLst>
            <c:ext xmlns:c16="http://schemas.microsoft.com/office/drawing/2014/chart" uri="{C3380CC4-5D6E-409C-BE32-E72D297353CC}">
              <c16:uniqueId val="{0000000A-ED45-4B6A-984B-572B747752D6}"/>
            </c:ext>
          </c:extLst>
        </c:ser>
        <c:dLbls>
          <c:showLegendKey val="0"/>
          <c:showVal val="0"/>
          <c:showCatName val="0"/>
          <c:showSerName val="0"/>
          <c:showPercent val="0"/>
          <c:showBubbleSize val="0"/>
          <c:showLeaderLines val="0"/>
        </c:dLbls>
        <c:firstSliceAng val="48"/>
        <c:holeSize val="62"/>
      </c:doughnutChart>
      <c:spPr>
        <a:noFill/>
        <a:ln>
          <a:noFill/>
        </a:ln>
        <a:effectLst/>
      </c:spPr>
    </c:plotArea>
    <c:legend>
      <c:legendPos val="r"/>
      <c:layout>
        <c:manualLayout>
          <c:xMode val="edge"/>
          <c:yMode val="edge"/>
          <c:x val="0.71358429189639883"/>
          <c:y val="0.25933552370701862"/>
          <c:w val="0.26404434345035727"/>
          <c:h val="0.57179610642194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563EB"/>
      </a:solidFill>
      <a:round/>
    </a:ln>
    <a:effectLst>
      <a:outerShdw blurRad="50800" dist="76200" dir="2700000" algn="tl" rotWithShape="0">
        <a:schemeClr val="accent5">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[Superstore_Sales_Dashboard.xlsx]Analysis!Top State</c:name>
    <c:fmtId val="34"/>
  </c:pivotSource>
  <c:chart>
    <c:title>
      <c:tx>
        <c:rich>
          <a:bodyPr rot="0" spcFirstLastPara="1" vertOverflow="ellipsis" vert="horz" wrap="square" anchor="ctr" anchorCtr="1"/>
          <a:lstStyle/>
          <a:p>
            <a:pPr algn="ctr" rtl="0">
              <a:defRPr lang="en-US" sz="1400" b="0" i="0" u="none" strike="noStrike" kern="1200" spc="20" baseline="0">
                <a:solidFill>
                  <a:schemeClr val="accent1">
                    <a:lumMod val="50000"/>
                  </a:schemeClr>
                </a:solidFill>
                <a:latin typeface="+mn-lt"/>
                <a:ea typeface="+mn-ea"/>
                <a:cs typeface="+mn-cs"/>
              </a:defRPr>
            </a:pPr>
            <a:r>
              <a:rPr lang="en-US" sz="1400" b="0" i="0" u="none" strike="noStrike" kern="1200" baseline="0">
                <a:solidFill>
                  <a:schemeClr val="accent1">
                    <a:lumMod val="50000"/>
                  </a:schemeClr>
                </a:solidFill>
                <a:latin typeface="+mn-lt"/>
                <a:ea typeface="+mn-ea"/>
                <a:cs typeface="+mn-cs"/>
              </a:rPr>
              <a:t>Top State By Sales</a:t>
            </a:r>
          </a:p>
        </c:rich>
      </c:tx>
      <c:layout>
        <c:manualLayout>
          <c:xMode val="edge"/>
          <c:yMode val="edge"/>
          <c:x val="0.44297900262467194"/>
          <c:y val="3.4113060428849901E-2"/>
        </c:manualLayout>
      </c:layout>
      <c:overlay val="0"/>
      <c:spPr>
        <a:noFill/>
        <a:ln>
          <a:noFill/>
        </a:ln>
        <a:effectLst/>
      </c:spPr>
      <c:txPr>
        <a:bodyPr rot="0" spcFirstLastPara="1" vertOverflow="ellipsis" vert="horz" wrap="square" anchor="ctr" anchorCtr="1"/>
        <a:lstStyle/>
        <a:p>
          <a:pPr algn="ctr" rtl="0">
            <a:defRPr lang="en-US" sz="1400" b="0" i="0" u="none" strike="noStrike" kern="1200" spc="20" baseline="0">
              <a:solidFill>
                <a:schemeClr val="accent1">
                  <a:lumMod val="50000"/>
                </a:schemeClr>
              </a:solidFill>
              <a:latin typeface="+mn-lt"/>
              <a:ea typeface="+mn-ea"/>
              <a:cs typeface="+mn-cs"/>
            </a:defRPr>
          </a:pPr>
          <a:endParaRPr lang="en-US"/>
        </a:p>
      </c:txPr>
    </c:title>
    <c:autoTitleDeleted val="0"/>
    <c:pivotFmts>
      <c:pivotFmt>
        <c:idx val="0"/>
        <c:spPr>
          <a:solidFill>
            <a:srgbClr val="2563EB"/>
          </a:solidFill>
          <a:ln>
            <a:noFill/>
          </a:ln>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lang="en-US" sz="1050" b="0" i="0" u="none" strike="noStrike" kern="1200" spc="2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77318460192475"/>
          <c:y val="0.12383040935672515"/>
          <c:w val="0.81978237095363082"/>
          <c:h val="0.75408550904821103"/>
        </c:manualLayout>
      </c:layout>
      <c:barChart>
        <c:barDir val="col"/>
        <c:grouping val="clustered"/>
        <c:varyColors val="0"/>
        <c:ser>
          <c:idx val="0"/>
          <c:order val="0"/>
          <c:tx>
            <c:strRef>
              <c:f>Analysis!$G$22</c:f>
              <c:strCache>
                <c:ptCount val="1"/>
                <c:pt idx="0">
                  <c:v>Total</c:v>
                </c:pt>
              </c:strCache>
            </c:strRef>
          </c:tx>
          <c:spPr>
            <a:solidFill>
              <a:srgbClr val="2563EB"/>
            </a:solidFill>
            <a:ln>
              <a:noFill/>
            </a:ln>
            <a:effectLst/>
          </c:spPr>
          <c:invertIfNegative val="0"/>
          <c:dLbls>
            <c:spPr>
              <a:solidFill>
                <a:schemeClr val="bg1">
                  <a:lumMod val="85000"/>
                </a:schemeClr>
              </a:solidFill>
              <a:ln>
                <a:noFill/>
              </a:ln>
              <a:effectLst/>
            </c:spPr>
            <c:txPr>
              <a:bodyPr rot="0" spcFirstLastPara="1" vertOverflow="ellipsis" vert="horz" wrap="square" anchor="ctr" anchorCtr="1"/>
              <a:lstStyle/>
              <a:p>
                <a:pPr>
                  <a:defRPr lang="en-US" sz="1050" b="0" i="0" u="none" strike="noStrike" kern="1200" spc="2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Analysis!$F$23:$F$26</c:f>
              <c:strCache>
                <c:ptCount val="3"/>
                <c:pt idx="0">
                  <c:v>Illinois</c:v>
                </c:pt>
                <c:pt idx="1">
                  <c:v>Minnesota</c:v>
                </c:pt>
                <c:pt idx="2">
                  <c:v>Texas</c:v>
                </c:pt>
              </c:strCache>
            </c:strRef>
          </c:cat>
          <c:val>
            <c:numRef>
              <c:f>Analysis!$G$23:$G$26</c:f>
              <c:numCache>
                <c:formatCode>0.00%</c:formatCode>
                <c:ptCount val="3"/>
                <c:pt idx="0">
                  <c:v>8.7503641822992542E-2</c:v>
                </c:pt>
                <c:pt idx="1">
                  <c:v>3.922466331718049E-2</c:v>
                </c:pt>
                <c:pt idx="2">
                  <c:v>0.87327169485982703</c:v>
                </c:pt>
              </c:numCache>
            </c:numRef>
          </c:val>
          <c:extLst>
            <c:ext xmlns:c16="http://schemas.microsoft.com/office/drawing/2014/chart" uri="{C3380CC4-5D6E-409C-BE32-E72D297353CC}">
              <c16:uniqueId val="{00000000-51E9-42EE-B430-80DAB5155BAE}"/>
            </c:ext>
          </c:extLst>
        </c:ser>
        <c:dLbls>
          <c:dLblPos val="outEnd"/>
          <c:showLegendKey val="0"/>
          <c:showVal val="1"/>
          <c:showCatName val="0"/>
          <c:showSerName val="0"/>
          <c:showPercent val="0"/>
          <c:showBubbleSize val="0"/>
        </c:dLbls>
        <c:gapWidth val="219"/>
        <c:overlap val="-27"/>
        <c:axId val="988361312"/>
        <c:axId val="988362272"/>
      </c:barChart>
      <c:catAx>
        <c:axId val="988361312"/>
        <c:scaling>
          <c:orientation val="minMax"/>
        </c:scaling>
        <c:delete val="0"/>
        <c:axPos val="b"/>
        <c:numFmt formatCode="General" sourceLinked="1"/>
        <c:majorTickMark val="none"/>
        <c:minorTickMark val="none"/>
        <c:tickLblPos val="nextTo"/>
        <c:spPr>
          <a:noFill/>
          <a:ln w="9525" cap="flat" cmpd="sng" algn="ctr">
            <a:solidFill>
              <a:srgbClr val="3BA2F6"/>
            </a:solidFill>
            <a:round/>
          </a:ln>
          <a:effectLst/>
        </c:spPr>
        <c:txPr>
          <a:bodyPr rot="-60000000" spcFirstLastPara="1" vertOverflow="ellipsis" vert="horz" wrap="square" anchor="ctr" anchorCtr="1"/>
          <a:lstStyle/>
          <a:p>
            <a:pPr algn="ctr">
              <a:defRPr lang="en-US" sz="1000" b="0" i="0" u="none" strike="noStrike" kern="1200" spc="20" baseline="0">
                <a:solidFill>
                  <a:schemeClr val="accent1">
                    <a:lumMod val="50000"/>
                  </a:schemeClr>
                </a:solidFill>
                <a:latin typeface="+mn-lt"/>
                <a:ea typeface="+mn-ea"/>
                <a:cs typeface="+mn-cs"/>
              </a:defRPr>
            </a:pPr>
            <a:endParaRPr lang="en-US"/>
          </a:p>
        </c:txPr>
        <c:crossAx val="988362272"/>
        <c:crosses val="autoZero"/>
        <c:auto val="1"/>
        <c:lblAlgn val="ctr"/>
        <c:lblOffset val="100"/>
        <c:noMultiLvlLbl val="0"/>
      </c:catAx>
      <c:valAx>
        <c:axId val="9883622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50" b="0" i="0" u="none" strike="noStrike" kern="1200" spc="20" baseline="0">
                <a:solidFill>
                  <a:schemeClr val="tx1">
                    <a:lumMod val="65000"/>
                    <a:lumOff val="35000"/>
                  </a:schemeClr>
                </a:solidFill>
                <a:latin typeface="+mn-lt"/>
                <a:ea typeface="+mn-ea"/>
                <a:cs typeface="+mn-cs"/>
              </a:defRPr>
            </a:pPr>
            <a:endParaRPr lang="en-US"/>
          </a:p>
        </c:txPr>
        <c:crossAx val="98836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563EB"/>
      </a:solidFill>
      <a:round/>
    </a:ln>
    <a:effectLst>
      <a:outerShdw blurRad="50800" dist="76200" dir="2700000" algn="tl" rotWithShape="0">
        <a:schemeClr val="accent5">
          <a:lumMod val="40000"/>
          <a:lumOff val="60000"/>
          <a:alpha val="40000"/>
        </a:schemeClr>
      </a:outerShdw>
    </a:effectLst>
  </c:spPr>
  <c:txPr>
    <a:bodyPr/>
    <a:lstStyle/>
    <a:p>
      <a:pPr algn="ctr" rtl="0">
        <a:defRPr lang="en-US" sz="1050" b="0" i="0" u="none" strike="noStrike" kern="1200" spc="2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23</xdr:col>
      <xdr:colOff>182880</xdr:colOff>
      <xdr:row>34</xdr:row>
      <xdr:rowOff>114300</xdr:rowOff>
    </xdr:to>
    <xdr:sp macro="" textlink="">
      <xdr:nvSpPr>
        <xdr:cNvPr id="2" name="Rectangle 1">
          <a:extLst>
            <a:ext uri="{FF2B5EF4-FFF2-40B4-BE49-F238E27FC236}">
              <a16:creationId xmlns:a16="http://schemas.microsoft.com/office/drawing/2014/main" id="{D2E54BD1-D005-433F-EECE-2C828E94D412}"/>
            </a:ext>
          </a:extLst>
        </xdr:cNvPr>
        <xdr:cNvSpPr/>
      </xdr:nvSpPr>
      <xdr:spPr>
        <a:xfrm>
          <a:off x="7620" y="0"/>
          <a:ext cx="14196060" cy="6332220"/>
        </a:xfrm>
        <a:prstGeom prst="rect">
          <a:avLst/>
        </a:prstGeom>
        <a:solidFill>
          <a:srgbClr val="F8FAFC"/>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solidFill>
              <a:schemeClr val="bg1"/>
            </a:solidFill>
          </a:endParaRPr>
        </a:p>
      </xdr:txBody>
    </xdr:sp>
    <xdr:clientData/>
  </xdr:twoCellAnchor>
  <xdr:twoCellAnchor>
    <xdr:from>
      <xdr:col>0</xdr:col>
      <xdr:colOff>68580</xdr:colOff>
      <xdr:row>0</xdr:row>
      <xdr:rowOff>38100</xdr:rowOff>
    </xdr:from>
    <xdr:to>
      <xdr:col>23</xdr:col>
      <xdr:colOff>121920</xdr:colOff>
      <xdr:row>4</xdr:row>
      <xdr:rowOff>22860</xdr:rowOff>
    </xdr:to>
    <xdr:sp macro="" textlink="">
      <xdr:nvSpPr>
        <xdr:cNvPr id="3" name="Rectangle: Rounded Corners 2">
          <a:extLst>
            <a:ext uri="{FF2B5EF4-FFF2-40B4-BE49-F238E27FC236}">
              <a16:creationId xmlns:a16="http://schemas.microsoft.com/office/drawing/2014/main" id="{9A5CFB55-AFCD-BC7E-1118-5E0F917B5249}"/>
            </a:ext>
          </a:extLst>
        </xdr:cNvPr>
        <xdr:cNvSpPr/>
      </xdr:nvSpPr>
      <xdr:spPr>
        <a:xfrm>
          <a:off x="68580" y="38100"/>
          <a:ext cx="14081760" cy="716280"/>
        </a:xfrm>
        <a:prstGeom prst="roundRect">
          <a:avLst/>
        </a:prstGeom>
        <a:solidFill>
          <a:schemeClr val="accent5">
            <a:lumMod val="75000"/>
          </a:schemeClr>
        </a:solidFill>
        <a:ln>
          <a:noFill/>
        </a:ln>
        <a:effectLst>
          <a:reflection blurRad="6350" stA="50000" endA="300" endPos="550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236220</xdr:colOff>
      <xdr:row>6</xdr:row>
      <xdr:rowOff>45721</xdr:rowOff>
    </xdr:from>
    <xdr:to>
      <xdr:col>3</xdr:col>
      <xdr:colOff>30480</xdr:colOff>
      <xdr:row>17</xdr:row>
      <xdr:rowOff>129540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304BA37B-AE0E-4C2F-A2AA-730FAE8FC50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36220" y="1143001"/>
              <a:ext cx="1623060" cy="2095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20</xdr:row>
      <xdr:rowOff>68580</xdr:rowOff>
    </xdr:from>
    <xdr:to>
      <xdr:col>3</xdr:col>
      <xdr:colOff>27432</xdr:colOff>
      <xdr:row>32</xdr:row>
      <xdr:rowOff>4572</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28D3024F-0E2D-411E-AACB-018E8019562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8600" y="3726180"/>
              <a:ext cx="1627632" cy="2130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480060</xdr:colOff>
      <xdr:row>4</xdr:row>
      <xdr:rowOff>99060</xdr:rowOff>
    </xdr:from>
    <xdr:to>
      <xdr:col>9</xdr:col>
      <xdr:colOff>449580</xdr:colOff>
      <xdr:row>8</xdr:row>
      <xdr:rowOff>76200</xdr:rowOff>
    </xdr:to>
    <xdr:sp macro="" textlink="">
      <xdr:nvSpPr>
        <xdr:cNvPr id="6" name="Rectangle: Rounded Corners 5">
          <a:extLst>
            <a:ext uri="{FF2B5EF4-FFF2-40B4-BE49-F238E27FC236}">
              <a16:creationId xmlns:a16="http://schemas.microsoft.com/office/drawing/2014/main" id="{8A4E0D7E-CF1E-A1FF-BDBA-47126D53F268}"/>
            </a:ext>
          </a:extLst>
        </xdr:cNvPr>
        <xdr:cNvSpPr/>
      </xdr:nvSpPr>
      <xdr:spPr>
        <a:xfrm>
          <a:off x="2308860" y="830580"/>
          <a:ext cx="3627120" cy="708660"/>
        </a:xfrm>
        <a:prstGeom prst="roundRect">
          <a:avLst/>
        </a:prstGeom>
        <a:noFill/>
        <a:ln>
          <a:solidFill>
            <a:srgbClr val="2563EB"/>
          </a:solidFill>
        </a:ln>
        <a:effectLst>
          <a:outerShdw blurRad="50800" dist="76200" dir="2700000" algn="tl"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259080</xdr:colOff>
      <xdr:row>4</xdr:row>
      <xdr:rowOff>114300</xdr:rowOff>
    </xdr:from>
    <xdr:to>
      <xdr:col>16</xdr:col>
      <xdr:colOff>228600</xdr:colOff>
      <xdr:row>8</xdr:row>
      <xdr:rowOff>91440</xdr:rowOff>
    </xdr:to>
    <xdr:sp macro="" textlink="">
      <xdr:nvSpPr>
        <xdr:cNvPr id="7" name="Rectangle: Rounded Corners 6">
          <a:extLst>
            <a:ext uri="{FF2B5EF4-FFF2-40B4-BE49-F238E27FC236}">
              <a16:creationId xmlns:a16="http://schemas.microsoft.com/office/drawing/2014/main" id="{65D0715F-7D06-362F-9460-3B63F369C7F8}"/>
            </a:ext>
          </a:extLst>
        </xdr:cNvPr>
        <xdr:cNvSpPr/>
      </xdr:nvSpPr>
      <xdr:spPr>
        <a:xfrm>
          <a:off x="6355080" y="845820"/>
          <a:ext cx="3627120" cy="708660"/>
        </a:xfrm>
        <a:prstGeom prst="roundRect">
          <a:avLst/>
        </a:prstGeom>
        <a:noFill/>
        <a:ln>
          <a:solidFill>
            <a:srgbClr val="2563EB"/>
          </a:solidFill>
        </a:ln>
        <a:effectLst>
          <a:outerShdw blurRad="50800" dist="76200" dir="2700000" algn="tl"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91440</xdr:colOff>
      <xdr:row>4</xdr:row>
      <xdr:rowOff>106680</xdr:rowOff>
    </xdr:from>
    <xdr:to>
      <xdr:col>23</xdr:col>
      <xdr:colOff>60960</xdr:colOff>
      <xdr:row>8</xdr:row>
      <xdr:rowOff>83820</xdr:rowOff>
    </xdr:to>
    <xdr:sp macro="" textlink="">
      <xdr:nvSpPr>
        <xdr:cNvPr id="8" name="Rectangle: Rounded Corners 7">
          <a:extLst>
            <a:ext uri="{FF2B5EF4-FFF2-40B4-BE49-F238E27FC236}">
              <a16:creationId xmlns:a16="http://schemas.microsoft.com/office/drawing/2014/main" id="{265DEBA7-5A4E-295E-80F3-0A3F1F27C9A3}"/>
            </a:ext>
          </a:extLst>
        </xdr:cNvPr>
        <xdr:cNvSpPr/>
      </xdr:nvSpPr>
      <xdr:spPr>
        <a:xfrm>
          <a:off x="10454640" y="838200"/>
          <a:ext cx="3627120" cy="708660"/>
        </a:xfrm>
        <a:prstGeom prst="roundRect">
          <a:avLst/>
        </a:prstGeom>
        <a:noFill/>
        <a:ln>
          <a:solidFill>
            <a:srgbClr val="2563EB"/>
          </a:solidFill>
        </a:ln>
        <a:effectLst>
          <a:outerShdw blurRad="50800" dist="76200" dir="2700000" algn="tl"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381000</xdr:colOff>
      <xdr:row>8</xdr:row>
      <xdr:rowOff>167640</xdr:rowOff>
    </xdr:from>
    <xdr:to>
      <xdr:col>9</xdr:col>
      <xdr:colOff>129540</xdr:colOff>
      <xdr:row>20</xdr:row>
      <xdr:rowOff>91440</xdr:rowOff>
    </xdr:to>
    <xdr:graphicFrame macro="">
      <xdr:nvGraphicFramePr>
        <xdr:cNvPr id="9" name="Top City">
          <a:extLst>
            <a:ext uri="{FF2B5EF4-FFF2-40B4-BE49-F238E27FC236}">
              <a16:creationId xmlns:a16="http://schemas.microsoft.com/office/drawing/2014/main" id="{F1AF2A04-8CDD-49AD-AB13-8E9AEBB97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266700</xdr:colOff>
      <xdr:row>21</xdr:row>
      <xdr:rowOff>22860</xdr:rowOff>
    </xdr:from>
    <xdr:to>
      <xdr:col>23</xdr:col>
      <xdr:colOff>15240</xdr:colOff>
      <xdr:row>33</xdr:row>
      <xdr:rowOff>141732</xdr:rowOff>
    </xdr:to>
    <xdr:graphicFrame macro="">
      <xdr:nvGraphicFramePr>
        <xdr:cNvPr id="14" name="Chart 13">
          <a:extLst>
            <a:ext uri="{FF2B5EF4-FFF2-40B4-BE49-F238E27FC236}">
              <a16:creationId xmlns:a16="http://schemas.microsoft.com/office/drawing/2014/main" id="{5306444A-5765-4331-A666-67B9286D5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312420</xdr:colOff>
      <xdr:row>9</xdr:row>
      <xdr:rowOff>7620</xdr:rowOff>
    </xdr:from>
    <xdr:to>
      <xdr:col>23</xdr:col>
      <xdr:colOff>65532</xdr:colOff>
      <xdr:row>20</xdr:row>
      <xdr:rowOff>117348</xdr:rowOff>
    </xdr:to>
    <xdr:graphicFrame macro="">
      <xdr:nvGraphicFramePr>
        <xdr:cNvPr id="15" name="Chart 14">
          <a:extLst>
            <a:ext uri="{FF2B5EF4-FFF2-40B4-BE49-F238E27FC236}">
              <a16:creationId xmlns:a16="http://schemas.microsoft.com/office/drawing/2014/main" id="{E197F093-D3A7-4016-A20E-A71CCBECD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228600</xdr:colOff>
      <xdr:row>5</xdr:row>
      <xdr:rowOff>22860</xdr:rowOff>
    </xdr:from>
    <xdr:to>
      <xdr:col>8</xdr:col>
      <xdr:colOff>327660</xdr:colOff>
      <xdr:row>6</xdr:row>
      <xdr:rowOff>45720</xdr:rowOff>
    </xdr:to>
    <xdr:sp macro="" textlink="">
      <xdr:nvSpPr>
        <xdr:cNvPr id="16" name="TextBox 15">
          <a:extLst>
            <a:ext uri="{FF2B5EF4-FFF2-40B4-BE49-F238E27FC236}">
              <a16:creationId xmlns:a16="http://schemas.microsoft.com/office/drawing/2014/main" id="{60ABDD90-9410-8340-26F7-E1186B4F944A}"/>
            </a:ext>
          </a:extLst>
        </xdr:cNvPr>
        <xdr:cNvSpPr txBox="1"/>
      </xdr:nvSpPr>
      <xdr:spPr>
        <a:xfrm>
          <a:off x="3886200" y="937260"/>
          <a:ext cx="13182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374151"/>
              </a:solidFill>
            </a:rPr>
            <a:t>Total</a:t>
          </a:r>
          <a:r>
            <a:rPr lang="en-US" sz="1400">
              <a:solidFill>
                <a:srgbClr val="374151"/>
              </a:solidFill>
            </a:rPr>
            <a:t> </a:t>
          </a:r>
          <a:r>
            <a:rPr lang="en-US" sz="1400" b="1">
              <a:solidFill>
                <a:srgbClr val="374151"/>
              </a:solidFill>
            </a:rPr>
            <a:t>Sales</a:t>
          </a:r>
        </a:p>
      </xdr:txBody>
    </xdr:sp>
    <xdr:clientData/>
  </xdr:twoCellAnchor>
  <xdr:twoCellAnchor>
    <xdr:from>
      <xdr:col>6</xdr:col>
      <xdr:colOff>381000</xdr:colOff>
      <xdr:row>6</xdr:row>
      <xdr:rowOff>99060</xdr:rowOff>
    </xdr:from>
    <xdr:to>
      <xdr:col>8</xdr:col>
      <xdr:colOff>518160</xdr:colOff>
      <xdr:row>8</xdr:row>
      <xdr:rowOff>7620</xdr:rowOff>
    </xdr:to>
    <xdr:sp macro="" textlink="Analysis!$B$2">
      <xdr:nvSpPr>
        <xdr:cNvPr id="17" name="TextBox 16">
          <a:extLst>
            <a:ext uri="{FF2B5EF4-FFF2-40B4-BE49-F238E27FC236}">
              <a16:creationId xmlns:a16="http://schemas.microsoft.com/office/drawing/2014/main" id="{10F4DE04-3001-7041-4602-B9CBCB9E6086}"/>
            </a:ext>
          </a:extLst>
        </xdr:cNvPr>
        <xdr:cNvSpPr txBox="1"/>
      </xdr:nvSpPr>
      <xdr:spPr>
        <a:xfrm>
          <a:off x="4038600" y="1196340"/>
          <a:ext cx="13563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FCFA623-67E8-471C-AE85-CB5DDC7843AD}" type="TxLink">
            <a:rPr lang="en-US" sz="1800" b="0" i="0" u="none" strike="noStrike">
              <a:solidFill>
                <a:srgbClr val="1D4ED8"/>
              </a:solidFill>
              <a:latin typeface="Calibri"/>
              <a:ea typeface="Calibri"/>
              <a:cs typeface="Calibri"/>
            </a:rPr>
            <a:pPr/>
            <a:t>$1,681.85</a:t>
          </a:fld>
          <a:endParaRPr lang="en-US" sz="1800">
            <a:solidFill>
              <a:srgbClr val="1D4ED8"/>
            </a:solidFill>
          </a:endParaRPr>
        </a:p>
      </xdr:txBody>
    </xdr:sp>
    <xdr:clientData/>
  </xdr:twoCellAnchor>
  <xdr:twoCellAnchor editAs="oneCell">
    <xdr:from>
      <xdr:col>5</xdr:col>
      <xdr:colOff>495300</xdr:colOff>
      <xdr:row>0</xdr:row>
      <xdr:rowOff>0</xdr:rowOff>
    </xdr:from>
    <xdr:to>
      <xdr:col>7</xdr:col>
      <xdr:colOff>144780</xdr:colOff>
      <xdr:row>4</xdr:row>
      <xdr:rowOff>144780</xdr:rowOff>
    </xdr:to>
    <xdr:pic>
      <xdr:nvPicPr>
        <xdr:cNvPr id="19" name="Graphic 18" descr="City with solid fill">
          <a:extLst>
            <a:ext uri="{FF2B5EF4-FFF2-40B4-BE49-F238E27FC236}">
              <a16:creationId xmlns:a16="http://schemas.microsoft.com/office/drawing/2014/main" id="{C3BB7A82-C340-5C08-A115-8477A15D9EA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43300" y="0"/>
          <a:ext cx="876300" cy="876300"/>
        </a:xfrm>
        <a:prstGeom prst="rect">
          <a:avLst/>
        </a:prstGeom>
      </xdr:spPr>
    </xdr:pic>
    <xdr:clientData/>
  </xdr:twoCellAnchor>
  <xdr:twoCellAnchor editAs="oneCell">
    <xdr:from>
      <xdr:col>5</xdr:col>
      <xdr:colOff>355740</xdr:colOff>
      <xdr:row>5</xdr:row>
      <xdr:rowOff>28080</xdr:rowOff>
    </xdr:from>
    <xdr:to>
      <xdr:col>6</xdr:col>
      <xdr:colOff>228600</xdr:colOff>
      <xdr:row>7</xdr:row>
      <xdr:rowOff>152400</xdr:rowOff>
    </xdr:to>
    <xdr:pic>
      <xdr:nvPicPr>
        <xdr:cNvPr id="21" name="Graphic 20" descr="Dollar with solid fill">
          <a:extLst>
            <a:ext uri="{FF2B5EF4-FFF2-40B4-BE49-F238E27FC236}">
              <a16:creationId xmlns:a16="http://schemas.microsoft.com/office/drawing/2014/main" id="{DC268346-AECC-B3F3-45ED-3A77954C05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403740" y="942480"/>
          <a:ext cx="490080" cy="490080"/>
        </a:xfrm>
        <a:prstGeom prst="rect">
          <a:avLst/>
        </a:prstGeom>
      </xdr:spPr>
    </xdr:pic>
    <xdr:clientData/>
  </xdr:twoCellAnchor>
  <xdr:twoCellAnchor editAs="oneCell">
    <xdr:from>
      <xdr:col>11</xdr:col>
      <xdr:colOff>581940</xdr:colOff>
      <xdr:row>5</xdr:row>
      <xdr:rowOff>10440</xdr:rowOff>
    </xdr:from>
    <xdr:to>
      <xdr:col>12</xdr:col>
      <xdr:colOff>466116</xdr:colOff>
      <xdr:row>7</xdr:row>
      <xdr:rowOff>138456</xdr:rowOff>
    </xdr:to>
    <xdr:pic>
      <xdr:nvPicPr>
        <xdr:cNvPr id="23" name="Graphic 22" descr="Statistics with solid fill">
          <a:extLst>
            <a:ext uri="{FF2B5EF4-FFF2-40B4-BE49-F238E27FC236}">
              <a16:creationId xmlns:a16="http://schemas.microsoft.com/office/drawing/2014/main" id="{FB527D00-E15D-5E49-57E1-3FE65DBF53D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287540" y="924840"/>
          <a:ext cx="493776" cy="493776"/>
        </a:xfrm>
        <a:prstGeom prst="rect">
          <a:avLst/>
        </a:prstGeom>
      </xdr:spPr>
    </xdr:pic>
    <xdr:clientData/>
  </xdr:twoCellAnchor>
  <xdr:twoCellAnchor editAs="oneCell">
    <xdr:from>
      <xdr:col>18</xdr:col>
      <xdr:colOff>599580</xdr:colOff>
      <xdr:row>5</xdr:row>
      <xdr:rowOff>43320</xdr:rowOff>
    </xdr:from>
    <xdr:to>
      <xdr:col>19</xdr:col>
      <xdr:colOff>483756</xdr:colOff>
      <xdr:row>7</xdr:row>
      <xdr:rowOff>171336</xdr:rowOff>
    </xdr:to>
    <xdr:pic>
      <xdr:nvPicPr>
        <xdr:cNvPr id="27" name="Graphic 26" descr="Shopping cart with solid fill">
          <a:extLst>
            <a:ext uri="{FF2B5EF4-FFF2-40B4-BE49-F238E27FC236}">
              <a16:creationId xmlns:a16="http://schemas.microsoft.com/office/drawing/2014/main" id="{A77CFBC1-E52B-25C8-9CA6-3F2620B6D2F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572380" y="957720"/>
          <a:ext cx="493776" cy="493776"/>
        </a:xfrm>
        <a:prstGeom prst="rect">
          <a:avLst/>
        </a:prstGeom>
      </xdr:spPr>
    </xdr:pic>
    <xdr:clientData/>
  </xdr:twoCellAnchor>
  <xdr:twoCellAnchor>
    <xdr:from>
      <xdr:col>13</xdr:col>
      <xdr:colOff>7620</xdr:colOff>
      <xdr:row>6</xdr:row>
      <xdr:rowOff>106680</xdr:rowOff>
    </xdr:from>
    <xdr:to>
      <xdr:col>15</xdr:col>
      <xdr:colOff>144780</xdr:colOff>
      <xdr:row>8</xdr:row>
      <xdr:rowOff>15240</xdr:rowOff>
    </xdr:to>
    <xdr:sp macro="" textlink="Analysis!$F$2">
      <xdr:nvSpPr>
        <xdr:cNvPr id="30" name="TextBox 29">
          <a:extLst>
            <a:ext uri="{FF2B5EF4-FFF2-40B4-BE49-F238E27FC236}">
              <a16:creationId xmlns:a16="http://schemas.microsoft.com/office/drawing/2014/main" id="{1ACEAD9A-0F1A-99FE-7E4E-5CB2863DBA52}"/>
            </a:ext>
          </a:extLst>
        </xdr:cNvPr>
        <xdr:cNvSpPr txBox="1"/>
      </xdr:nvSpPr>
      <xdr:spPr>
        <a:xfrm>
          <a:off x="7932420" y="1203960"/>
          <a:ext cx="13563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E71C64E-E7A2-4722-97D2-002B90E547B9}" type="TxLink">
            <a:rPr lang="en-US" sz="1800" b="0" i="0" u="none" strike="noStrike">
              <a:solidFill>
                <a:srgbClr val="1D4ED8"/>
              </a:solidFill>
              <a:latin typeface="Calibri"/>
              <a:ea typeface="Calibri"/>
              <a:cs typeface="Calibri"/>
            </a:rPr>
            <a:pPr/>
            <a:t>$208.35</a:t>
          </a:fld>
          <a:endParaRPr lang="en-US" sz="1800">
            <a:solidFill>
              <a:srgbClr val="1D4ED8"/>
            </a:solidFill>
          </a:endParaRPr>
        </a:p>
      </xdr:txBody>
    </xdr:sp>
    <xdr:clientData/>
  </xdr:twoCellAnchor>
  <xdr:twoCellAnchor>
    <xdr:from>
      <xdr:col>20</xdr:col>
      <xdr:colOff>106680</xdr:colOff>
      <xdr:row>6</xdr:row>
      <xdr:rowOff>121920</xdr:rowOff>
    </xdr:from>
    <xdr:to>
      <xdr:col>22</xdr:col>
      <xdr:colOff>121920</xdr:colOff>
      <xdr:row>8</xdr:row>
      <xdr:rowOff>7620</xdr:rowOff>
    </xdr:to>
    <xdr:sp macro="" textlink="Analysis!$D$2">
      <xdr:nvSpPr>
        <xdr:cNvPr id="31" name="TextBox 30">
          <a:extLst>
            <a:ext uri="{FF2B5EF4-FFF2-40B4-BE49-F238E27FC236}">
              <a16:creationId xmlns:a16="http://schemas.microsoft.com/office/drawing/2014/main" id="{DC3AFAED-A52C-E7B8-D767-CF89E21FAA24}"/>
            </a:ext>
          </a:extLst>
        </xdr:cNvPr>
        <xdr:cNvSpPr txBox="1"/>
      </xdr:nvSpPr>
      <xdr:spPr>
        <a:xfrm>
          <a:off x="12298680" y="1219200"/>
          <a:ext cx="123444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A58204-C0E6-486A-8087-C773EF72C6B2}" type="TxLink">
            <a:rPr lang="en-US" sz="1800" b="0" i="0" u="none" strike="noStrike">
              <a:solidFill>
                <a:srgbClr val="1D4ED8"/>
              </a:solidFill>
              <a:latin typeface="Calibri"/>
              <a:ea typeface="Calibri"/>
              <a:cs typeface="Calibri"/>
            </a:rPr>
            <a:pPr algn="ctr"/>
            <a:t>5</a:t>
          </a:fld>
          <a:endParaRPr lang="en-US" sz="1800">
            <a:solidFill>
              <a:srgbClr val="1D4ED8"/>
            </a:solidFill>
          </a:endParaRPr>
        </a:p>
      </xdr:txBody>
    </xdr:sp>
    <xdr:clientData/>
  </xdr:twoCellAnchor>
  <xdr:twoCellAnchor>
    <xdr:from>
      <xdr:col>13</xdr:col>
      <xdr:colOff>45720</xdr:colOff>
      <xdr:row>5</xdr:row>
      <xdr:rowOff>22860</xdr:rowOff>
    </xdr:from>
    <xdr:to>
      <xdr:col>15</xdr:col>
      <xdr:colOff>144780</xdr:colOff>
      <xdr:row>6</xdr:row>
      <xdr:rowOff>45720</xdr:rowOff>
    </xdr:to>
    <xdr:sp macro="" textlink="">
      <xdr:nvSpPr>
        <xdr:cNvPr id="32" name="TextBox 31">
          <a:extLst>
            <a:ext uri="{FF2B5EF4-FFF2-40B4-BE49-F238E27FC236}">
              <a16:creationId xmlns:a16="http://schemas.microsoft.com/office/drawing/2014/main" id="{135DB2F9-2C7D-0F30-05F7-A82E72917489}"/>
            </a:ext>
          </a:extLst>
        </xdr:cNvPr>
        <xdr:cNvSpPr txBox="1"/>
      </xdr:nvSpPr>
      <xdr:spPr>
        <a:xfrm>
          <a:off x="7970520" y="937260"/>
          <a:ext cx="13182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374151"/>
              </a:solidFill>
            </a:rPr>
            <a:t>Total</a:t>
          </a:r>
          <a:r>
            <a:rPr lang="en-US" sz="1400">
              <a:solidFill>
                <a:srgbClr val="374151"/>
              </a:solidFill>
            </a:rPr>
            <a:t> </a:t>
          </a:r>
          <a:r>
            <a:rPr lang="en-US" sz="1400" b="1">
              <a:solidFill>
                <a:srgbClr val="374151"/>
              </a:solidFill>
            </a:rPr>
            <a:t>Sales</a:t>
          </a:r>
        </a:p>
      </xdr:txBody>
    </xdr:sp>
    <xdr:clientData/>
  </xdr:twoCellAnchor>
  <xdr:twoCellAnchor>
    <xdr:from>
      <xdr:col>19</xdr:col>
      <xdr:colOff>510540</xdr:colOff>
      <xdr:row>4</xdr:row>
      <xdr:rowOff>175260</xdr:rowOff>
    </xdr:from>
    <xdr:to>
      <xdr:col>22</xdr:col>
      <xdr:colOff>0</xdr:colOff>
      <xdr:row>6</xdr:row>
      <xdr:rowOff>15240</xdr:rowOff>
    </xdr:to>
    <xdr:sp macro="" textlink="">
      <xdr:nvSpPr>
        <xdr:cNvPr id="33" name="TextBox 32">
          <a:extLst>
            <a:ext uri="{FF2B5EF4-FFF2-40B4-BE49-F238E27FC236}">
              <a16:creationId xmlns:a16="http://schemas.microsoft.com/office/drawing/2014/main" id="{91547F7D-F895-6820-BB45-D175D25C3366}"/>
            </a:ext>
          </a:extLst>
        </xdr:cNvPr>
        <xdr:cNvSpPr txBox="1"/>
      </xdr:nvSpPr>
      <xdr:spPr>
        <a:xfrm>
          <a:off x="12092940" y="906780"/>
          <a:ext cx="13182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374151"/>
              </a:solidFill>
            </a:rPr>
            <a:t>Total</a:t>
          </a:r>
          <a:r>
            <a:rPr lang="en-US" sz="1400">
              <a:solidFill>
                <a:srgbClr val="374151"/>
              </a:solidFill>
            </a:rPr>
            <a:t> </a:t>
          </a:r>
          <a:r>
            <a:rPr lang="en-US" sz="1400" b="1">
              <a:solidFill>
                <a:srgbClr val="374151"/>
              </a:solidFill>
            </a:rPr>
            <a:t>Sales</a:t>
          </a:r>
        </a:p>
      </xdr:txBody>
    </xdr:sp>
    <xdr:clientData/>
  </xdr:twoCellAnchor>
  <xdr:twoCellAnchor>
    <xdr:from>
      <xdr:col>7</xdr:col>
      <xdr:colOff>175260</xdr:colOff>
      <xdr:row>0</xdr:row>
      <xdr:rowOff>114300</xdr:rowOff>
    </xdr:from>
    <xdr:to>
      <xdr:col>17</xdr:col>
      <xdr:colOff>487680</xdr:colOff>
      <xdr:row>3</xdr:row>
      <xdr:rowOff>144780</xdr:rowOff>
    </xdr:to>
    <xdr:sp macro="" textlink="">
      <xdr:nvSpPr>
        <xdr:cNvPr id="35" name="TextBox 34">
          <a:extLst>
            <a:ext uri="{FF2B5EF4-FFF2-40B4-BE49-F238E27FC236}">
              <a16:creationId xmlns:a16="http://schemas.microsoft.com/office/drawing/2014/main" id="{608FC457-E164-2BF4-173E-06FFA67B3EE2}"/>
            </a:ext>
          </a:extLst>
        </xdr:cNvPr>
        <xdr:cNvSpPr txBox="1"/>
      </xdr:nvSpPr>
      <xdr:spPr>
        <a:xfrm>
          <a:off x="4442460" y="114300"/>
          <a:ext cx="640842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800">
              <a:solidFill>
                <a:schemeClr val="bg1"/>
              </a:solidFill>
            </a:rPr>
            <a:t>SUPERSTORE</a:t>
          </a:r>
          <a:r>
            <a:rPr lang="en-US" sz="2800" baseline="0">
              <a:solidFill>
                <a:schemeClr val="bg1"/>
              </a:solidFill>
            </a:rPr>
            <a:t> SALES DASHBOARD</a:t>
          </a:r>
          <a:endParaRPr lang="en-US" sz="2800">
            <a:solidFill>
              <a:schemeClr val="bg1"/>
            </a:solidFill>
          </a:endParaRPr>
        </a:p>
      </xdr:txBody>
    </xdr:sp>
    <xdr:clientData/>
  </xdr:twoCellAnchor>
  <xdr:twoCellAnchor>
    <xdr:from>
      <xdr:col>0</xdr:col>
      <xdr:colOff>114300</xdr:colOff>
      <xdr:row>5</xdr:row>
      <xdr:rowOff>68580</xdr:rowOff>
    </xdr:from>
    <xdr:to>
      <xdr:col>3</xdr:col>
      <xdr:colOff>114300</xdr:colOff>
      <xdr:row>18</xdr:row>
      <xdr:rowOff>30480</xdr:rowOff>
    </xdr:to>
    <xdr:sp macro="" textlink="">
      <xdr:nvSpPr>
        <xdr:cNvPr id="37" name="Rectangle 36">
          <a:extLst>
            <a:ext uri="{FF2B5EF4-FFF2-40B4-BE49-F238E27FC236}">
              <a16:creationId xmlns:a16="http://schemas.microsoft.com/office/drawing/2014/main" id="{8D24776B-72A0-723D-5891-E9462E093E40}"/>
            </a:ext>
          </a:extLst>
        </xdr:cNvPr>
        <xdr:cNvSpPr/>
      </xdr:nvSpPr>
      <xdr:spPr>
        <a:xfrm>
          <a:off x="114300" y="982980"/>
          <a:ext cx="1828800" cy="2339340"/>
        </a:xfrm>
        <a:prstGeom prst="rect">
          <a:avLst/>
        </a:prstGeom>
        <a:noFill/>
        <a:ln>
          <a:solidFill>
            <a:srgbClr val="0070C0"/>
          </a:solidFill>
        </a:ln>
        <a:effectLst>
          <a:outerShdw blurRad="50800" dist="76200" dir="2700000" algn="tl"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121920</xdr:colOff>
      <xdr:row>19</xdr:row>
      <xdr:rowOff>137160</xdr:rowOff>
    </xdr:from>
    <xdr:to>
      <xdr:col>3</xdr:col>
      <xdr:colOff>121920</xdr:colOff>
      <xdr:row>32</xdr:row>
      <xdr:rowOff>100584</xdr:rowOff>
    </xdr:to>
    <xdr:sp macro="" textlink="">
      <xdr:nvSpPr>
        <xdr:cNvPr id="38" name="Rectangle 37">
          <a:extLst>
            <a:ext uri="{FF2B5EF4-FFF2-40B4-BE49-F238E27FC236}">
              <a16:creationId xmlns:a16="http://schemas.microsoft.com/office/drawing/2014/main" id="{BF782005-B503-9FB9-8574-1A0164C1ECA5}"/>
            </a:ext>
          </a:extLst>
        </xdr:cNvPr>
        <xdr:cNvSpPr/>
      </xdr:nvSpPr>
      <xdr:spPr>
        <a:xfrm>
          <a:off x="121920" y="3611880"/>
          <a:ext cx="1828800" cy="2340864"/>
        </a:xfrm>
        <a:prstGeom prst="rect">
          <a:avLst/>
        </a:prstGeom>
        <a:noFill/>
        <a:ln>
          <a:solidFill>
            <a:srgbClr val="0070C0"/>
          </a:solidFill>
        </a:ln>
        <a:effectLst>
          <a:outerShdw blurRad="50800" dist="38100" dir="2700000" algn="tl" rotWithShape="0">
            <a:schemeClr val="accent5">
              <a:lumMod val="60000"/>
              <a:lumOff val="4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327660</xdr:colOff>
      <xdr:row>8</xdr:row>
      <xdr:rowOff>152400</xdr:rowOff>
    </xdr:from>
    <xdr:to>
      <xdr:col>17</xdr:col>
      <xdr:colOff>22860</xdr:colOff>
      <xdr:row>20</xdr:row>
      <xdr:rowOff>79248</xdr:rowOff>
    </xdr:to>
    <xdr:graphicFrame macro="">
      <xdr:nvGraphicFramePr>
        <xdr:cNvPr id="12" name="Chart 11">
          <a:extLst>
            <a:ext uri="{FF2B5EF4-FFF2-40B4-BE49-F238E27FC236}">
              <a16:creationId xmlns:a16="http://schemas.microsoft.com/office/drawing/2014/main" id="{3A8CEF23-BAFD-4666-A868-3C3A7DF37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358140</xdr:colOff>
      <xdr:row>21</xdr:row>
      <xdr:rowOff>38100</xdr:rowOff>
    </xdr:from>
    <xdr:to>
      <xdr:col>13</xdr:col>
      <xdr:colOff>97536</xdr:colOff>
      <xdr:row>33</xdr:row>
      <xdr:rowOff>156972</xdr:rowOff>
    </xdr:to>
    <xdr:graphicFrame macro="">
      <xdr:nvGraphicFramePr>
        <xdr:cNvPr id="10" name="Region Profit">
          <a:extLst>
            <a:ext uri="{FF2B5EF4-FFF2-40B4-BE49-F238E27FC236}">
              <a16:creationId xmlns:a16="http://schemas.microsoft.com/office/drawing/2014/main" id="{EA99CD82-2EA3-412E-ADF2-0B7DCB913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777240</xdr:colOff>
      <xdr:row>12</xdr:row>
      <xdr:rowOff>68580</xdr:rowOff>
    </xdr:from>
    <xdr:to>
      <xdr:col>17</xdr:col>
      <xdr:colOff>274320</xdr:colOff>
      <xdr:row>25</xdr:row>
      <xdr:rowOff>158115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BCEE46A-2AFC-C0F3-25E9-7B6982EB09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45340" y="2263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792480</xdr:colOff>
      <xdr:row>1</xdr:row>
      <xdr:rowOff>53341</xdr:rowOff>
    </xdr:from>
    <xdr:to>
      <xdr:col>17</xdr:col>
      <xdr:colOff>205740</xdr:colOff>
      <xdr:row>8</xdr:row>
      <xdr:rowOff>160021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9842F9EE-FC43-27CE-BB05-8EAF46E451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260580" y="236221"/>
              <a:ext cx="1744980" cy="138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68580</xdr:colOff>
      <xdr:row>11</xdr:row>
      <xdr:rowOff>121920</xdr:rowOff>
    </xdr:from>
    <xdr:to>
      <xdr:col>14</xdr:col>
      <xdr:colOff>449580</xdr:colOff>
      <xdr:row>22</xdr:row>
      <xdr:rowOff>99060</xdr:rowOff>
    </xdr:to>
    <xdr:graphicFrame macro="">
      <xdr:nvGraphicFramePr>
        <xdr:cNvPr id="10" name="Segment sales">
          <a:extLst>
            <a:ext uri="{FF2B5EF4-FFF2-40B4-BE49-F238E27FC236}">
              <a16:creationId xmlns:a16="http://schemas.microsoft.com/office/drawing/2014/main" id="{81841452-DFD8-470F-A3E7-7552CA36C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129540</xdr:colOff>
      <xdr:row>0</xdr:row>
      <xdr:rowOff>15240</xdr:rowOff>
    </xdr:from>
    <xdr:to>
      <xdr:col>14</xdr:col>
      <xdr:colOff>685800</xdr:colOff>
      <xdr:row>11</xdr:row>
      <xdr:rowOff>68580</xdr:rowOff>
    </xdr:to>
    <xdr:graphicFrame macro="">
      <xdr:nvGraphicFramePr>
        <xdr:cNvPr id="11" name="Region Profit">
          <a:extLst>
            <a:ext uri="{FF2B5EF4-FFF2-40B4-BE49-F238E27FC236}">
              <a16:creationId xmlns:a16="http://schemas.microsoft.com/office/drawing/2014/main" id="{B4805204-80CF-4AC1-9256-56DCF4AB8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4</xdr:row>
      <xdr:rowOff>160020</xdr:rowOff>
    </xdr:from>
    <xdr:to>
      <xdr:col>4</xdr:col>
      <xdr:colOff>632460</xdr:colOff>
      <xdr:row>17</xdr:row>
      <xdr:rowOff>0</xdr:rowOff>
    </xdr:to>
    <xdr:graphicFrame macro="">
      <xdr:nvGraphicFramePr>
        <xdr:cNvPr id="12" name="Category Sales">
          <a:extLst>
            <a:ext uri="{FF2B5EF4-FFF2-40B4-BE49-F238E27FC236}">
              <a16:creationId xmlns:a16="http://schemas.microsoft.com/office/drawing/2014/main" id="{EF2BB838-AB4F-4492-971D-720DE7A5B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518160</xdr:colOff>
      <xdr:row>22</xdr:row>
      <xdr:rowOff>129540</xdr:rowOff>
    </xdr:from>
    <xdr:to>
      <xdr:col>14</xdr:col>
      <xdr:colOff>640080</xdr:colOff>
      <xdr:row>34</xdr:row>
      <xdr:rowOff>45720</xdr:rowOff>
    </xdr:to>
    <xdr:graphicFrame macro="">
      <xdr:nvGraphicFramePr>
        <xdr:cNvPr id="13" name="Top City">
          <a:extLst>
            <a:ext uri="{FF2B5EF4-FFF2-40B4-BE49-F238E27FC236}">
              <a16:creationId xmlns:a16="http://schemas.microsoft.com/office/drawing/2014/main" id="{8CBCEB6B-4532-4DED-8D05-1207FFED8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175260</xdr:colOff>
      <xdr:row>17</xdr:row>
      <xdr:rowOff>167640</xdr:rowOff>
    </xdr:from>
    <xdr:to>
      <xdr:col>5</xdr:col>
      <xdr:colOff>792480</xdr:colOff>
      <xdr:row>32</xdr:row>
      <xdr:rowOff>30480</xdr:rowOff>
    </xdr:to>
    <xdr:graphicFrame macro="">
      <xdr:nvGraphicFramePr>
        <xdr:cNvPr id="6" name="Chart 5">
          <a:extLst>
            <a:ext uri="{FF2B5EF4-FFF2-40B4-BE49-F238E27FC236}">
              <a16:creationId xmlns:a16="http://schemas.microsoft.com/office/drawing/2014/main" id="{696148A1-841A-3EEF-8E79-A4B2477C3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3.96540173611" createdVersion="8" refreshedVersion="8" minRefreshableVersion="3" recordCount="98" xr:uid="{16C0F6DB-7C33-4A4A-BAB1-854C2C4CBC6B}">
  <cacheSource type="worksheet">
    <worksheetSource name="Table1"/>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ount="33">
        <s v="Henderson"/>
        <s v="Los Angeles"/>
        <s v="Fort Lauderdale"/>
        <s v="Concord"/>
        <s v="Seattle"/>
        <s v="Fort Worth"/>
        <s v="Madiso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haredItems>
    </cacheField>
    <cacheField name="State" numFmtId="0">
      <sharedItems count="22">
        <s v="Kentucky"/>
        <s v="California"/>
        <s v="Florida"/>
        <s v="North Carolina"/>
        <s v="Washington"/>
        <s v="Texas"/>
        <s v="Wisconsin"/>
        <s v="Nebraska"/>
        <s v="Pennsylvania"/>
        <s v="Utah"/>
        <s v="Illinois"/>
        <s v="Minnesota"/>
        <s v="Michigan"/>
        <s v="Delaware"/>
        <s v="Indiana"/>
        <s v="New York"/>
        <s v="Arizona"/>
        <s v="Virginia"/>
        <s v="Tennessee"/>
        <s v="Alabama"/>
        <s v="South Carolina"/>
        <s v="Oregon"/>
      </sharedItems>
    </cacheField>
    <cacheField name="Postal Code" numFmtId="0">
      <sharedItems containsSemiMixedTypes="0" containsString="0" containsNumber="1" containsInteger="1" minValue="10009" maxValue="98103"/>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164">
      <sharedItems containsSemiMixedTypes="0" containsString="0" containsNumber="1" minValue="1.248" maxValue="3083.43"/>
    </cacheField>
    <cacheField name="Quantity" numFmtId="0">
      <sharedItems containsSemiMixedTypes="0" containsString="0" containsNumber="1" containsInteger="1" minValue="1" maxValue="9"/>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298.68549999999999"/>
    </cacheField>
  </cacheFields>
  <extLst>
    <ext xmlns:x14="http://schemas.microsoft.com/office/spreadsheetml/2009/9/main" uri="{725AE2AE-9491-48be-B2B4-4EB974FC3084}">
      <x14:pivotCacheDefinition pivotCacheId="13506588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s v="Second Class"/>
    <x v="0"/>
    <s v="United States"/>
    <x v="0"/>
    <x v="0"/>
    <n v="42420"/>
    <x v="0"/>
    <x v="0"/>
    <s v="Bookcases"/>
    <n v="261.95999999999998"/>
    <n v="2"/>
    <n v="0"/>
    <n v="41.913600000000002"/>
  </r>
  <r>
    <s v="Second Class"/>
    <x v="0"/>
    <s v="United States"/>
    <x v="0"/>
    <x v="0"/>
    <n v="42420"/>
    <x v="0"/>
    <x v="0"/>
    <s v="Chairs"/>
    <n v="731.94"/>
    <n v="3"/>
    <n v="0"/>
    <n v="219.58199999999999"/>
  </r>
  <r>
    <s v="Second Class"/>
    <x v="1"/>
    <s v="United States"/>
    <x v="1"/>
    <x v="1"/>
    <n v="90036"/>
    <x v="1"/>
    <x v="1"/>
    <s v="Labels"/>
    <n v="14.62"/>
    <n v="2"/>
    <n v="0"/>
    <n v="6.8714000000000004"/>
  </r>
  <r>
    <s v="Standard Class"/>
    <x v="0"/>
    <s v="United States"/>
    <x v="2"/>
    <x v="2"/>
    <n v="33311"/>
    <x v="0"/>
    <x v="0"/>
    <s v="Tables"/>
    <n v="957.57749999999999"/>
    <n v="5"/>
    <n v="0.45"/>
    <n v="-383.03100000000001"/>
  </r>
  <r>
    <s v="Standard Class"/>
    <x v="0"/>
    <s v="United States"/>
    <x v="2"/>
    <x v="2"/>
    <n v="33311"/>
    <x v="0"/>
    <x v="1"/>
    <s v="Storage"/>
    <n v="22.367999999999999"/>
    <n v="2"/>
    <n v="0.2"/>
    <n v="2.5164"/>
  </r>
  <r>
    <s v="Standard Class"/>
    <x v="0"/>
    <s v="United States"/>
    <x v="1"/>
    <x v="1"/>
    <n v="90032"/>
    <x v="1"/>
    <x v="0"/>
    <s v="Furnishings"/>
    <n v="48.86"/>
    <n v="7"/>
    <n v="0"/>
    <n v="14.1694"/>
  </r>
  <r>
    <s v="Standard Class"/>
    <x v="0"/>
    <s v="United States"/>
    <x v="1"/>
    <x v="1"/>
    <n v="90032"/>
    <x v="1"/>
    <x v="1"/>
    <s v="Art"/>
    <n v="7.28"/>
    <n v="4"/>
    <n v="0"/>
    <n v="1.9656"/>
  </r>
  <r>
    <s v="Standard Class"/>
    <x v="0"/>
    <s v="United States"/>
    <x v="1"/>
    <x v="1"/>
    <n v="90032"/>
    <x v="1"/>
    <x v="2"/>
    <s v="Phones"/>
    <n v="907.15200000000004"/>
    <n v="6"/>
    <n v="0.2"/>
    <n v="90.715199999999996"/>
  </r>
  <r>
    <s v="Standard Class"/>
    <x v="0"/>
    <s v="United States"/>
    <x v="1"/>
    <x v="1"/>
    <n v="90032"/>
    <x v="1"/>
    <x v="1"/>
    <s v="Binders"/>
    <n v="18.504000000000001"/>
    <n v="3"/>
    <n v="0.2"/>
    <n v="5.7824999999999998"/>
  </r>
  <r>
    <s v="Standard Class"/>
    <x v="0"/>
    <s v="United States"/>
    <x v="1"/>
    <x v="1"/>
    <n v="90032"/>
    <x v="1"/>
    <x v="1"/>
    <s v="Appliances"/>
    <n v="114.9"/>
    <n v="5"/>
    <n v="0"/>
    <n v="34.47"/>
  </r>
  <r>
    <s v="Standard Class"/>
    <x v="0"/>
    <s v="United States"/>
    <x v="1"/>
    <x v="1"/>
    <n v="90032"/>
    <x v="1"/>
    <x v="0"/>
    <s v="Tables"/>
    <n v="1706.184"/>
    <n v="9"/>
    <n v="0.2"/>
    <n v="85.309200000000004"/>
  </r>
  <r>
    <s v="Standard Class"/>
    <x v="0"/>
    <s v="United States"/>
    <x v="1"/>
    <x v="1"/>
    <n v="90032"/>
    <x v="1"/>
    <x v="2"/>
    <s v="Phones"/>
    <n v="911.42399999999998"/>
    <n v="4"/>
    <n v="0.2"/>
    <n v="68.356800000000007"/>
  </r>
  <r>
    <s v="Standard Class"/>
    <x v="0"/>
    <s v="United States"/>
    <x v="3"/>
    <x v="3"/>
    <n v="28027"/>
    <x v="0"/>
    <x v="1"/>
    <s v="Paper"/>
    <n v="15.552"/>
    <n v="3"/>
    <n v="0.2"/>
    <n v="5.4432"/>
  </r>
  <r>
    <s v="Standard Class"/>
    <x v="0"/>
    <s v="United States"/>
    <x v="4"/>
    <x v="4"/>
    <n v="98103"/>
    <x v="1"/>
    <x v="1"/>
    <s v="Binders"/>
    <n v="407.976"/>
    <n v="3"/>
    <n v="0.2"/>
    <n v="132.59219999999999"/>
  </r>
  <r>
    <s v="Standard Class"/>
    <x v="2"/>
    <s v="United States"/>
    <x v="5"/>
    <x v="5"/>
    <n v="76106"/>
    <x v="2"/>
    <x v="1"/>
    <s v="Appliances"/>
    <n v="68.81"/>
    <n v="5"/>
    <n v="0.8"/>
    <n v="-123.858"/>
  </r>
  <r>
    <s v="Standard Class"/>
    <x v="2"/>
    <s v="United States"/>
    <x v="5"/>
    <x v="5"/>
    <n v="76106"/>
    <x v="2"/>
    <x v="1"/>
    <s v="Binders"/>
    <n v="2.544"/>
    <n v="3"/>
    <n v="0.8"/>
    <n v="-3.8159999999999998"/>
  </r>
  <r>
    <s v="Standard Class"/>
    <x v="0"/>
    <s v="United States"/>
    <x v="6"/>
    <x v="6"/>
    <n v="53711"/>
    <x v="2"/>
    <x v="1"/>
    <s v="Storage"/>
    <n v="665.88"/>
    <n v="6"/>
    <n v="0"/>
    <n v="13.317600000000001"/>
  </r>
  <r>
    <s v="Second Class"/>
    <x v="0"/>
    <s v="United States"/>
    <x v="7"/>
    <x v="1"/>
    <n v="94109"/>
    <x v="1"/>
    <x v="1"/>
    <s v="Art"/>
    <n v="8.56"/>
    <n v="2"/>
    <n v="0"/>
    <n v="2.4824000000000002"/>
  </r>
  <r>
    <s v="Second Class"/>
    <x v="0"/>
    <s v="United States"/>
    <x v="7"/>
    <x v="1"/>
    <n v="94109"/>
    <x v="1"/>
    <x v="2"/>
    <s v="Phones"/>
    <n v="213.48"/>
    <n v="3"/>
    <n v="0.2"/>
    <n v="16.010999999999999"/>
  </r>
  <r>
    <s v="Second Class"/>
    <x v="0"/>
    <s v="United States"/>
    <x v="7"/>
    <x v="1"/>
    <n v="94109"/>
    <x v="1"/>
    <x v="1"/>
    <s v="Binders"/>
    <n v="22.72"/>
    <n v="4"/>
    <n v="0.2"/>
    <n v="7.3840000000000003"/>
  </r>
  <r>
    <s v="Standard Class"/>
    <x v="1"/>
    <s v="United States"/>
    <x v="8"/>
    <x v="7"/>
    <n v="68025"/>
    <x v="2"/>
    <x v="1"/>
    <s v="Art"/>
    <n v="19.46"/>
    <n v="7"/>
    <n v="0"/>
    <n v="5.0595999999999997"/>
  </r>
  <r>
    <s v="Standard Class"/>
    <x v="1"/>
    <s v="United States"/>
    <x v="8"/>
    <x v="7"/>
    <n v="68025"/>
    <x v="2"/>
    <x v="1"/>
    <s v="Appliances"/>
    <n v="60.34"/>
    <n v="7"/>
    <n v="0"/>
    <n v="15.6884"/>
  </r>
  <r>
    <s v="Second Class"/>
    <x v="0"/>
    <s v="United States"/>
    <x v="9"/>
    <x v="8"/>
    <n v="19140"/>
    <x v="3"/>
    <x v="0"/>
    <s v="Chairs"/>
    <n v="71.372"/>
    <n v="2"/>
    <n v="0.3"/>
    <n v="-1.0196000000000001"/>
  </r>
  <r>
    <s v="Standard Class"/>
    <x v="0"/>
    <s v="United States"/>
    <x v="10"/>
    <x v="9"/>
    <n v="84057"/>
    <x v="1"/>
    <x v="0"/>
    <s v="Tables"/>
    <n v="1044.6300000000001"/>
    <n v="3"/>
    <n v="0"/>
    <n v="240.26490000000001"/>
  </r>
  <r>
    <s v="Second Class"/>
    <x v="0"/>
    <s v="United States"/>
    <x v="1"/>
    <x v="1"/>
    <n v="90049"/>
    <x v="1"/>
    <x v="1"/>
    <s v="Binders"/>
    <n v="11.648"/>
    <n v="2"/>
    <n v="0.2"/>
    <n v="4.2224000000000004"/>
  </r>
  <r>
    <s v="Second Class"/>
    <x v="0"/>
    <s v="United States"/>
    <x v="1"/>
    <x v="1"/>
    <n v="90049"/>
    <x v="1"/>
    <x v="2"/>
    <s v="Accessories"/>
    <n v="90.57"/>
    <n v="3"/>
    <n v="0"/>
    <n v="11.774100000000001"/>
  </r>
  <r>
    <s v="Standard Class"/>
    <x v="0"/>
    <s v="United States"/>
    <x v="9"/>
    <x v="8"/>
    <n v="19140"/>
    <x v="3"/>
    <x v="0"/>
    <s v="Bookcases"/>
    <n v="3083.43"/>
    <n v="7"/>
    <n v="0.5"/>
    <n v="-1665.0522000000001"/>
  </r>
  <r>
    <s v="Standard Class"/>
    <x v="0"/>
    <s v="United States"/>
    <x v="9"/>
    <x v="8"/>
    <n v="19140"/>
    <x v="3"/>
    <x v="1"/>
    <s v="Binders"/>
    <n v="9.6180000000000003"/>
    <n v="2"/>
    <n v="0.7"/>
    <n v="-7.0532000000000004"/>
  </r>
  <r>
    <s v="Standard Class"/>
    <x v="0"/>
    <s v="United States"/>
    <x v="9"/>
    <x v="8"/>
    <n v="19140"/>
    <x v="3"/>
    <x v="0"/>
    <s v="Furnishings"/>
    <n v="124.2"/>
    <n v="3"/>
    <n v="0.2"/>
    <n v="15.525"/>
  </r>
  <r>
    <s v="Standard Class"/>
    <x v="0"/>
    <s v="United States"/>
    <x v="9"/>
    <x v="8"/>
    <n v="19140"/>
    <x v="3"/>
    <x v="1"/>
    <s v="Envelopes"/>
    <n v="3.2639999999999998"/>
    <n v="2"/>
    <n v="0.2"/>
    <n v="1.1015999999999999"/>
  </r>
  <r>
    <s v="Standard Class"/>
    <x v="0"/>
    <s v="United States"/>
    <x v="9"/>
    <x v="8"/>
    <n v="19140"/>
    <x v="3"/>
    <x v="1"/>
    <s v="Art"/>
    <n v="86.304000000000002"/>
    <n v="6"/>
    <n v="0.2"/>
    <n v="9.7091999999999992"/>
  </r>
  <r>
    <s v="Standard Class"/>
    <x v="0"/>
    <s v="United States"/>
    <x v="9"/>
    <x v="8"/>
    <n v="19140"/>
    <x v="3"/>
    <x v="1"/>
    <s v="Binders"/>
    <n v="6.8579999999999997"/>
    <n v="6"/>
    <n v="0.7"/>
    <n v="-5.7149999999999999"/>
  </r>
  <r>
    <s v="Standard Class"/>
    <x v="0"/>
    <s v="United States"/>
    <x v="9"/>
    <x v="8"/>
    <n v="19140"/>
    <x v="3"/>
    <x v="1"/>
    <s v="Art"/>
    <n v="15.76"/>
    <n v="2"/>
    <n v="0.2"/>
    <n v="3.5459999999999998"/>
  </r>
  <r>
    <s v="Second Class"/>
    <x v="2"/>
    <s v="United States"/>
    <x v="11"/>
    <x v="5"/>
    <n v="77095"/>
    <x v="2"/>
    <x v="1"/>
    <s v="Paper"/>
    <n v="29.472000000000001"/>
    <n v="3"/>
    <n v="0.2"/>
    <n v="9.9467999999999996"/>
  </r>
  <r>
    <s v="First Class"/>
    <x v="1"/>
    <s v="United States"/>
    <x v="12"/>
    <x v="5"/>
    <n v="75080"/>
    <x v="2"/>
    <x v="2"/>
    <s v="Phones"/>
    <n v="1097.5440000000001"/>
    <n v="7"/>
    <n v="0.2"/>
    <n v="123.47369999999999"/>
  </r>
  <r>
    <s v="First Class"/>
    <x v="1"/>
    <s v="United States"/>
    <x v="12"/>
    <x v="5"/>
    <n v="75080"/>
    <x v="2"/>
    <x v="0"/>
    <s v="Furnishings"/>
    <n v="190.92"/>
    <n v="5"/>
    <n v="0.6"/>
    <n v="-147.96299999999999"/>
  </r>
  <r>
    <s v="Standard Class"/>
    <x v="2"/>
    <s v="United States"/>
    <x v="11"/>
    <x v="5"/>
    <n v="77041"/>
    <x v="2"/>
    <x v="1"/>
    <s v="Envelopes"/>
    <n v="113.328"/>
    <n v="9"/>
    <n v="0.2"/>
    <n v="35.414999999999999"/>
  </r>
  <r>
    <s v="Standard Class"/>
    <x v="2"/>
    <s v="United States"/>
    <x v="11"/>
    <x v="5"/>
    <n v="77041"/>
    <x v="2"/>
    <x v="0"/>
    <s v="Bookcases"/>
    <n v="532.39919999999995"/>
    <n v="3"/>
    <n v="0.32"/>
    <n v="-46.976399999999998"/>
  </r>
  <r>
    <s v="Standard Class"/>
    <x v="2"/>
    <s v="United States"/>
    <x v="11"/>
    <x v="5"/>
    <n v="77041"/>
    <x v="2"/>
    <x v="0"/>
    <s v="Chairs"/>
    <n v="212.05799999999999"/>
    <n v="3"/>
    <n v="0.3"/>
    <n v="-15.147"/>
  </r>
  <r>
    <s v="Standard Class"/>
    <x v="2"/>
    <s v="United States"/>
    <x v="11"/>
    <x v="5"/>
    <n v="77041"/>
    <x v="2"/>
    <x v="2"/>
    <s v="Phones"/>
    <n v="371.16800000000001"/>
    <n v="4"/>
    <n v="0.2"/>
    <n v="41.756399999999999"/>
  </r>
  <r>
    <s v="Standard Class"/>
    <x v="1"/>
    <s v="United States"/>
    <x v="13"/>
    <x v="10"/>
    <n v="60540"/>
    <x v="2"/>
    <x v="2"/>
    <s v="Phones"/>
    <n v="147.16800000000001"/>
    <n v="4"/>
    <n v="0.2"/>
    <n v="16.5564"/>
  </r>
  <r>
    <s v="Standard Class"/>
    <x v="1"/>
    <s v="United States"/>
    <x v="1"/>
    <x v="1"/>
    <n v="90049"/>
    <x v="1"/>
    <x v="1"/>
    <s v="Storage"/>
    <n v="77.88"/>
    <n v="2"/>
    <n v="0"/>
    <n v="3.8940000000000001"/>
  </r>
  <r>
    <s v="Standard Class"/>
    <x v="1"/>
    <s v="United States"/>
    <x v="14"/>
    <x v="2"/>
    <n v="32935"/>
    <x v="0"/>
    <x v="1"/>
    <s v="Storage"/>
    <n v="95.616"/>
    <n v="2"/>
    <n v="0.2"/>
    <n v="9.5616000000000003"/>
  </r>
  <r>
    <s v="First Class"/>
    <x v="1"/>
    <s v="United States"/>
    <x v="15"/>
    <x v="11"/>
    <n v="55122"/>
    <x v="2"/>
    <x v="2"/>
    <s v="Accessories"/>
    <n v="45.98"/>
    <n v="2"/>
    <n v="0"/>
    <n v="19.7714"/>
  </r>
  <r>
    <s v="First Class"/>
    <x v="1"/>
    <s v="United States"/>
    <x v="15"/>
    <x v="11"/>
    <n v="55122"/>
    <x v="2"/>
    <x v="1"/>
    <s v="Binders"/>
    <n v="17.46"/>
    <n v="2"/>
    <n v="0"/>
    <n v="8.2062000000000008"/>
  </r>
  <r>
    <s v="Second Class"/>
    <x v="0"/>
    <s v="United States"/>
    <x v="16"/>
    <x v="12"/>
    <n v="48185"/>
    <x v="2"/>
    <x v="1"/>
    <s v="Storage"/>
    <n v="211.96"/>
    <n v="4"/>
    <n v="0"/>
    <n v="8.4784000000000006"/>
  </r>
  <r>
    <s v="Standard Class"/>
    <x v="0"/>
    <s v="United States"/>
    <x v="17"/>
    <x v="13"/>
    <n v="19901"/>
    <x v="3"/>
    <x v="2"/>
    <s v="Accessories"/>
    <n v="45"/>
    <n v="3"/>
    <n v="0"/>
    <n v="4.95"/>
  </r>
  <r>
    <s v="Standard Class"/>
    <x v="0"/>
    <s v="United States"/>
    <x v="17"/>
    <x v="13"/>
    <n v="19901"/>
    <x v="3"/>
    <x v="2"/>
    <s v="Phones"/>
    <n v="21.8"/>
    <n v="2"/>
    <n v="0"/>
    <n v="6.1040000000000001"/>
  </r>
  <r>
    <s v="Standard Class"/>
    <x v="0"/>
    <s v="United States"/>
    <x v="18"/>
    <x v="14"/>
    <n v="47150"/>
    <x v="2"/>
    <x v="1"/>
    <s v="Binders"/>
    <n v="38.22"/>
    <n v="6"/>
    <n v="0"/>
    <n v="17.9634"/>
  </r>
  <r>
    <s v="Standard Class"/>
    <x v="0"/>
    <s v="United States"/>
    <x v="18"/>
    <x v="14"/>
    <n v="47150"/>
    <x v="2"/>
    <x v="1"/>
    <s v="Labels"/>
    <n v="75.180000000000007"/>
    <n v="6"/>
    <n v="0"/>
    <n v="35.334600000000002"/>
  </r>
  <r>
    <s v="Standard Class"/>
    <x v="0"/>
    <s v="United States"/>
    <x v="18"/>
    <x v="14"/>
    <n v="47150"/>
    <x v="2"/>
    <x v="0"/>
    <s v="Furnishings"/>
    <n v="6.16"/>
    <n v="2"/>
    <n v="0"/>
    <n v="2.9567999999999999"/>
  </r>
  <r>
    <s v="Standard Class"/>
    <x v="0"/>
    <s v="United States"/>
    <x v="18"/>
    <x v="14"/>
    <n v="47150"/>
    <x v="2"/>
    <x v="0"/>
    <s v="Chairs"/>
    <n v="89.99"/>
    <n v="1"/>
    <n v="0"/>
    <n v="17.098099999999999"/>
  </r>
  <r>
    <s v="Standard Class"/>
    <x v="1"/>
    <s v="United States"/>
    <x v="19"/>
    <x v="15"/>
    <n v="10024"/>
    <x v="3"/>
    <x v="1"/>
    <s v="Fasteners"/>
    <n v="15.26"/>
    <n v="7"/>
    <n v="0"/>
    <n v="6.2565999999999997"/>
  </r>
  <r>
    <s v="Standard Class"/>
    <x v="1"/>
    <s v="United States"/>
    <x v="19"/>
    <x v="15"/>
    <n v="10024"/>
    <x v="3"/>
    <x v="2"/>
    <s v="Phones"/>
    <n v="1029.95"/>
    <n v="5"/>
    <n v="0"/>
    <n v="298.68549999999999"/>
  </r>
  <r>
    <s v="First Class"/>
    <x v="0"/>
    <s v="United States"/>
    <x v="20"/>
    <x v="15"/>
    <n v="12180"/>
    <x v="3"/>
    <x v="1"/>
    <s v="Storage"/>
    <n v="208.56"/>
    <n v="6"/>
    <n v="0"/>
    <n v="52.14"/>
  </r>
  <r>
    <s v="First Class"/>
    <x v="0"/>
    <s v="United States"/>
    <x v="20"/>
    <x v="15"/>
    <n v="12180"/>
    <x v="3"/>
    <x v="1"/>
    <s v="Paper"/>
    <n v="32.4"/>
    <n v="5"/>
    <n v="0"/>
    <n v="15.552"/>
  </r>
  <r>
    <s v="First Class"/>
    <x v="0"/>
    <s v="United States"/>
    <x v="20"/>
    <x v="15"/>
    <n v="12180"/>
    <x v="3"/>
    <x v="0"/>
    <s v="Chairs"/>
    <n v="319.41000000000003"/>
    <n v="5"/>
    <n v="0.1"/>
    <n v="7.0979999999999999"/>
  </r>
  <r>
    <s v="First Class"/>
    <x v="0"/>
    <s v="United States"/>
    <x v="20"/>
    <x v="15"/>
    <n v="12180"/>
    <x v="3"/>
    <x v="1"/>
    <s v="Paper"/>
    <n v="14.56"/>
    <n v="2"/>
    <n v="0"/>
    <n v="6.9888000000000003"/>
  </r>
  <r>
    <s v="First Class"/>
    <x v="0"/>
    <s v="United States"/>
    <x v="20"/>
    <x v="15"/>
    <n v="12180"/>
    <x v="3"/>
    <x v="2"/>
    <s v="Accessories"/>
    <n v="30"/>
    <n v="2"/>
    <n v="0"/>
    <n v="3.3"/>
  </r>
  <r>
    <s v="First Class"/>
    <x v="0"/>
    <s v="United States"/>
    <x v="20"/>
    <x v="15"/>
    <n v="12180"/>
    <x v="3"/>
    <x v="1"/>
    <s v="Binders"/>
    <n v="48.48"/>
    <n v="4"/>
    <n v="0.2"/>
    <n v="16.361999999999998"/>
  </r>
  <r>
    <s v="First Class"/>
    <x v="0"/>
    <s v="United States"/>
    <x v="20"/>
    <x v="15"/>
    <n v="12180"/>
    <x v="3"/>
    <x v="1"/>
    <s v="Art"/>
    <n v="1.68"/>
    <n v="1"/>
    <n v="0"/>
    <n v="0.84"/>
  </r>
  <r>
    <s v="Standard Class"/>
    <x v="0"/>
    <s v="United States"/>
    <x v="1"/>
    <x v="1"/>
    <n v="90004"/>
    <x v="1"/>
    <x v="2"/>
    <s v="Accessories"/>
    <n v="13.98"/>
    <n v="2"/>
    <n v="0"/>
    <n v="6.1512000000000002"/>
  </r>
  <r>
    <s v="Standard Class"/>
    <x v="0"/>
    <s v="United States"/>
    <x v="1"/>
    <x v="1"/>
    <n v="90004"/>
    <x v="1"/>
    <x v="1"/>
    <s v="Binders"/>
    <n v="25.824000000000002"/>
    <n v="6"/>
    <n v="0.2"/>
    <n v="9.3612000000000002"/>
  </r>
  <r>
    <s v="Standard Class"/>
    <x v="0"/>
    <s v="United States"/>
    <x v="1"/>
    <x v="1"/>
    <n v="90004"/>
    <x v="1"/>
    <x v="1"/>
    <s v="Paper"/>
    <n v="146.72999999999999"/>
    <n v="3"/>
    <n v="0"/>
    <n v="68.963099999999997"/>
  </r>
  <r>
    <s v="Standard Class"/>
    <x v="0"/>
    <s v="United States"/>
    <x v="1"/>
    <x v="1"/>
    <n v="90004"/>
    <x v="1"/>
    <x v="0"/>
    <s v="Furnishings"/>
    <n v="79.760000000000005"/>
    <n v="4"/>
    <n v="0"/>
    <n v="22.332799999999999"/>
  </r>
  <r>
    <s v="Standard Class"/>
    <x v="2"/>
    <s v="United States"/>
    <x v="21"/>
    <x v="10"/>
    <n v="60610"/>
    <x v="2"/>
    <x v="0"/>
    <s v="Chairs"/>
    <n v="213.11500000000001"/>
    <n v="5"/>
    <n v="0.3"/>
    <n v="-15.2225"/>
  </r>
  <r>
    <s v="Standard Class"/>
    <x v="1"/>
    <s v="United States"/>
    <x v="22"/>
    <x v="16"/>
    <n v="85234"/>
    <x v="1"/>
    <x v="1"/>
    <s v="Art"/>
    <n v="1113.0239999999999"/>
    <n v="8"/>
    <n v="0.2"/>
    <n v="111.30240000000001"/>
  </r>
  <r>
    <s v="Standard Class"/>
    <x v="1"/>
    <s v="United States"/>
    <x v="22"/>
    <x v="16"/>
    <n v="85234"/>
    <x v="1"/>
    <x v="2"/>
    <s v="Phones"/>
    <n v="167.96799999999999"/>
    <n v="4"/>
    <n v="0.2"/>
    <n v="62.988"/>
  </r>
  <r>
    <s v="First Class"/>
    <x v="0"/>
    <s v="United States"/>
    <x v="23"/>
    <x v="17"/>
    <n v="22153"/>
    <x v="0"/>
    <x v="1"/>
    <s v="Paper"/>
    <n v="75.88"/>
    <n v="2"/>
    <n v="0"/>
    <n v="35.663600000000002"/>
  </r>
  <r>
    <s v="Standard Class"/>
    <x v="0"/>
    <s v="United States"/>
    <x v="19"/>
    <x v="15"/>
    <n v="10009"/>
    <x v="3"/>
    <x v="1"/>
    <s v="Binders"/>
    <n v="4.6159999999999997"/>
    <n v="1"/>
    <n v="0.2"/>
    <n v="1.7310000000000001"/>
  </r>
  <r>
    <s v="Second Class"/>
    <x v="0"/>
    <s v="United States"/>
    <x v="24"/>
    <x v="12"/>
    <n v="49201"/>
    <x v="2"/>
    <x v="1"/>
    <s v="Paper"/>
    <n v="19.05"/>
    <n v="3"/>
    <n v="0"/>
    <n v="8.7629999999999999"/>
  </r>
  <r>
    <s v="Standard Class"/>
    <x v="0"/>
    <s v="United States"/>
    <x v="25"/>
    <x v="18"/>
    <n v="38109"/>
    <x v="0"/>
    <x v="0"/>
    <s v="Chairs"/>
    <n v="831.93600000000004"/>
    <n v="8"/>
    <n v="0.2"/>
    <n v="-114.3912"/>
  </r>
  <r>
    <s v="Standard Class"/>
    <x v="0"/>
    <s v="United States"/>
    <x v="25"/>
    <x v="18"/>
    <n v="38109"/>
    <x v="0"/>
    <x v="0"/>
    <s v="Furnishings"/>
    <n v="97.04"/>
    <n v="2"/>
    <n v="0.2"/>
    <n v="1.2130000000000001"/>
  </r>
  <r>
    <s v="Standard Class"/>
    <x v="0"/>
    <s v="United States"/>
    <x v="25"/>
    <x v="18"/>
    <n v="38109"/>
    <x v="0"/>
    <x v="1"/>
    <s v="Storage"/>
    <n v="72.784000000000006"/>
    <n v="1"/>
    <n v="0.2"/>
    <n v="-18.196000000000002"/>
  </r>
  <r>
    <s v="First Class"/>
    <x v="1"/>
    <s v="United States"/>
    <x v="11"/>
    <x v="5"/>
    <n v="77041"/>
    <x v="2"/>
    <x v="1"/>
    <s v="Binders"/>
    <n v="1.248"/>
    <n v="3"/>
    <n v="0.8"/>
    <n v="-1.9343999999999999"/>
  </r>
  <r>
    <s v="First Class"/>
    <x v="1"/>
    <s v="United States"/>
    <x v="11"/>
    <x v="5"/>
    <n v="77041"/>
    <x v="2"/>
    <x v="0"/>
    <s v="Furnishings"/>
    <n v="9.7080000000000002"/>
    <n v="3"/>
    <n v="0.6"/>
    <n v="-5.8247999999999998"/>
  </r>
  <r>
    <s v="First Class"/>
    <x v="1"/>
    <s v="United States"/>
    <x v="11"/>
    <x v="5"/>
    <n v="77041"/>
    <x v="2"/>
    <x v="1"/>
    <s v="Storage"/>
    <n v="27.24"/>
    <n v="3"/>
    <n v="0.2"/>
    <n v="2.7240000000000002"/>
  </r>
  <r>
    <s v="Second Class"/>
    <x v="0"/>
    <s v="United States"/>
    <x v="11"/>
    <x v="5"/>
    <n v="77070"/>
    <x v="2"/>
    <x v="0"/>
    <s v="Furnishings"/>
    <n v="19.3"/>
    <n v="5"/>
    <n v="0.6"/>
    <n v="-14.475"/>
  </r>
  <r>
    <s v="First Class"/>
    <x v="1"/>
    <s v="United States"/>
    <x v="26"/>
    <x v="19"/>
    <n v="35601"/>
    <x v="0"/>
    <x v="1"/>
    <s v="Appliances"/>
    <n v="208.16"/>
    <n v="1"/>
    <n v="0"/>
    <n v="56.203200000000002"/>
  </r>
  <r>
    <s v="First Class"/>
    <x v="1"/>
    <s v="United States"/>
    <x v="26"/>
    <x v="19"/>
    <n v="35601"/>
    <x v="0"/>
    <x v="1"/>
    <s v="Binders"/>
    <n v="16.739999999999998"/>
    <n v="3"/>
    <n v="0"/>
    <n v="8.0351999999999997"/>
  </r>
  <r>
    <s v="Standard Class"/>
    <x v="0"/>
    <s v="United States"/>
    <x v="7"/>
    <x v="1"/>
    <n v="94122"/>
    <x v="1"/>
    <x v="1"/>
    <s v="Art"/>
    <n v="14.9"/>
    <n v="5"/>
    <n v="0"/>
    <n v="4.1719999999999997"/>
  </r>
  <r>
    <s v="Standard Class"/>
    <x v="0"/>
    <s v="United States"/>
    <x v="7"/>
    <x v="1"/>
    <n v="94122"/>
    <x v="1"/>
    <x v="1"/>
    <s v="Storage"/>
    <n v="21.39"/>
    <n v="1"/>
    <n v="0"/>
    <n v="6.2031000000000001"/>
  </r>
  <r>
    <s v="Standard Class"/>
    <x v="1"/>
    <s v="United States"/>
    <x v="27"/>
    <x v="3"/>
    <n v="27707"/>
    <x v="0"/>
    <x v="1"/>
    <s v="Envelopes"/>
    <n v="200.98400000000001"/>
    <n v="7"/>
    <n v="0.2"/>
    <n v="62.807499999999997"/>
  </r>
  <r>
    <s v="First Class"/>
    <x v="2"/>
    <s v="United States"/>
    <x v="21"/>
    <x v="10"/>
    <n v="60623"/>
    <x v="2"/>
    <x v="1"/>
    <s v="Storage"/>
    <n v="230.376"/>
    <n v="3"/>
    <n v="0.2"/>
    <n v="-48.954900000000002"/>
  </r>
  <r>
    <s v="Second Class"/>
    <x v="0"/>
    <s v="United States"/>
    <x v="28"/>
    <x v="20"/>
    <n v="29203"/>
    <x v="0"/>
    <x v="0"/>
    <s v="Chairs"/>
    <n v="301.95999999999998"/>
    <n v="2"/>
    <n v="0"/>
    <n v="33.215600000000002"/>
  </r>
  <r>
    <s v="Standard Class"/>
    <x v="0"/>
    <s v="United States"/>
    <x v="29"/>
    <x v="11"/>
    <n v="55901"/>
    <x v="2"/>
    <x v="2"/>
    <s v="Accessories"/>
    <n v="19.989999999999998"/>
    <n v="1"/>
    <n v="0"/>
    <n v="6.7965999999999998"/>
  </r>
  <r>
    <s v="Standard Class"/>
    <x v="0"/>
    <s v="United States"/>
    <x v="29"/>
    <x v="11"/>
    <n v="55901"/>
    <x v="2"/>
    <x v="1"/>
    <s v="Labels"/>
    <n v="6.16"/>
    <n v="2"/>
    <n v="0"/>
    <n v="2.9567999999999999"/>
  </r>
  <r>
    <s v="Second Class"/>
    <x v="2"/>
    <s v="United States"/>
    <x v="11"/>
    <x v="5"/>
    <n v="77095"/>
    <x v="2"/>
    <x v="1"/>
    <s v="Storage"/>
    <n v="158.36799999999999"/>
    <n v="7"/>
    <n v="0.2"/>
    <n v="13.857200000000001"/>
  </r>
  <r>
    <s v="Standard Class"/>
    <x v="1"/>
    <s v="United States"/>
    <x v="1"/>
    <x v="1"/>
    <n v="90036"/>
    <x v="1"/>
    <x v="1"/>
    <s v="Art"/>
    <n v="20.100000000000001"/>
    <n v="3"/>
    <n v="0"/>
    <n v="6.633"/>
  </r>
  <r>
    <s v="Standard Class"/>
    <x v="1"/>
    <s v="United States"/>
    <x v="1"/>
    <x v="1"/>
    <n v="90036"/>
    <x v="1"/>
    <x v="2"/>
    <s v="Phones"/>
    <n v="73.584000000000003"/>
    <n v="2"/>
    <n v="0.2"/>
    <n v="8.2782"/>
  </r>
  <r>
    <s v="Standard Class"/>
    <x v="1"/>
    <s v="United States"/>
    <x v="1"/>
    <x v="1"/>
    <n v="90036"/>
    <x v="1"/>
    <x v="1"/>
    <s v="Paper"/>
    <n v="6.48"/>
    <n v="1"/>
    <n v="0"/>
    <n v="3.1103999999999998"/>
  </r>
  <r>
    <s v="Second Class"/>
    <x v="0"/>
    <s v="United States"/>
    <x v="30"/>
    <x v="11"/>
    <n v="55407"/>
    <x v="2"/>
    <x v="1"/>
    <s v="Paper"/>
    <n v="12.96"/>
    <n v="2"/>
    <n v="0"/>
    <n v="6.2207999999999997"/>
  </r>
  <r>
    <s v="Second Class"/>
    <x v="0"/>
    <s v="United States"/>
    <x v="30"/>
    <x v="11"/>
    <n v="55407"/>
    <x v="2"/>
    <x v="0"/>
    <s v="Furnishings"/>
    <n v="53.34"/>
    <n v="3"/>
    <n v="0"/>
    <n v="16.535399999999999"/>
  </r>
  <r>
    <s v="Second Class"/>
    <x v="0"/>
    <s v="United States"/>
    <x v="30"/>
    <x v="11"/>
    <n v="55407"/>
    <x v="2"/>
    <x v="1"/>
    <s v="Binders"/>
    <n v="32.96"/>
    <n v="2"/>
    <n v="0"/>
    <n v="16.150400000000001"/>
  </r>
  <r>
    <s v="Standard Class"/>
    <x v="2"/>
    <s v="United States"/>
    <x v="31"/>
    <x v="21"/>
    <n v="97206"/>
    <x v="1"/>
    <x v="1"/>
    <s v="Binders"/>
    <n v="5.6820000000000004"/>
    <n v="1"/>
    <n v="0.7"/>
    <n v="-3.7879999999999998"/>
  </r>
  <r>
    <s v="Second Class"/>
    <x v="2"/>
    <s v="United States"/>
    <x v="19"/>
    <x v="15"/>
    <n v="10009"/>
    <x v="3"/>
    <x v="0"/>
    <s v="Furnishings"/>
    <n v="96.53"/>
    <n v="7"/>
    <n v="0"/>
    <n v="40.5426"/>
  </r>
  <r>
    <s v="First Class"/>
    <x v="0"/>
    <s v="United States"/>
    <x v="7"/>
    <x v="1"/>
    <n v="94122"/>
    <x v="1"/>
    <x v="1"/>
    <s v="Binders"/>
    <n v="51.311999999999998"/>
    <n v="3"/>
    <n v="0.2"/>
    <n v="17.959199999999999"/>
  </r>
  <r>
    <s v="Standard Class"/>
    <x v="1"/>
    <s v="United States"/>
    <x v="32"/>
    <x v="11"/>
    <n v="55106"/>
    <x v="2"/>
    <x v="1"/>
    <s v="Appliances"/>
    <n v="77.88"/>
    <n v="6"/>
    <n v="0"/>
    <n v="22.58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9FF717-4DF1-4937-9587-192992D6AC0C}" name="Segment" cacheId="16" applyNumberFormats="0" applyBorderFormats="0" applyFontFormats="0" applyPatternFormats="0" applyAlignmentFormats="0" applyWidthHeightFormats="1" dataCaption="Values" updatedVersion="8" minRefreshableVersion="3" enableDrill="0" itemPrintTitles="1" createdVersion="8" indent="0" outline="1" outlineData="1" multipleFieldFilters="0" chartFormat="13">
  <location ref="I13:J17" firstHeaderRow="1" firstDataRow="1" firstDataCol="1"/>
  <pivotFields count="13">
    <pivotField showAll="0"/>
    <pivotField axis="axisRow" showAll="0">
      <items count="4">
        <item x="0"/>
        <item x="1"/>
        <item x="2"/>
        <item t="default"/>
      </items>
    </pivotField>
    <pivotField showAll="0"/>
    <pivotField showAll="0"/>
    <pivotField showAll="0" measureFilter="1"/>
    <pivotField showAll="0"/>
    <pivotField showAll="0">
      <items count="5">
        <item h="1" x="0"/>
        <item h="1" x="1"/>
        <item h="1" x="3"/>
        <item x="2"/>
        <item t="default"/>
      </items>
    </pivotField>
    <pivotField showAll="0">
      <items count="4">
        <item h="1" x="0"/>
        <item h="1" x="1"/>
        <item x="2"/>
        <item t="default"/>
      </items>
    </pivotField>
    <pivotField showAll="0"/>
    <pivotField dataField="1" numFmtId="164" showAll="0"/>
    <pivotField showAll="0"/>
    <pivotField showAll="0"/>
    <pivotField showAll="0"/>
  </pivotFields>
  <rowFields count="1">
    <field x="1"/>
  </rowFields>
  <rowItems count="4">
    <i>
      <x/>
    </i>
    <i>
      <x v="1"/>
    </i>
    <i>
      <x v="2"/>
    </i>
    <i t="grand">
      <x/>
    </i>
  </rowItems>
  <colItems count="1">
    <i/>
  </colItems>
  <dataFields count="1">
    <dataField name="Sum of Sales" fld="9" showDataAs="percentOfTotal" baseField="0" baseItem="0" numFmtId="10"/>
  </dataFields>
  <formats count="2">
    <format dxfId="467">
      <pivotArea outline="0" collapsedLevelsAreSubtotals="1" fieldPosition="0"/>
    </format>
    <format dxfId="466">
      <pivotArea outline="0" fieldPosition="0">
        <references count="1">
          <reference field="4294967294" count="1">
            <x v="0"/>
          </reference>
        </references>
      </pivotArea>
    </format>
  </formats>
  <chartFormats count="12">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 count="1" selected="0">
            <x v="0"/>
          </reference>
        </references>
      </pivotArea>
    </chartFormat>
    <chartFormat chart="10" format="15">
      <pivotArea type="data" outline="0" fieldPosition="0">
        <references count="2">
          <reference field="4294967294" count="1" selected="0">
            <x v="0"/>
          </reference>
          <reference field="1" count="1" selected="0">
            <x v="1"/>
          </reference>
        </references>
      </pivotArea>
    </chartFormat>
    <chartFormat chart="10" format="1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893CFD-E6D9-4B4E-8E21-7C4082D89788}" name="Region" cacheId="16" applyNumberFormats="0" applyBorderFormats="0" applyFontFormats="0" applyPatternFormats="0" applyAlignmentFormats="0" applyWidthHeightFormats="1" dataCaption="Values" updatedVersion="8" minRefreshableVersion="3" enableDrill="0" itemPrintTitles="1" createdVersion="8" indent="0" outline="1" outlineData="1" multipleFieldFilters="0" chartFormat="32">
  <location ref="I2:J6" firstHeaderRow="1" firstDataRow="1" firstDataCol="1"/>
  <pivotFields count="13">
    <pivotField showAll="0"/>
    <pivotField showAll="0"/>
    <pivotField showAll="0"/>
    <pivotField showAll="0"/>
    <pivotField showAll="0"/>
    <pivotField showAll="0"/>
    <pivotField axis="axisRow" showAll="0">
      <items count="5">
        <item x="0"/>
        <item x="1"/>
        <item x="3"/>
        <item x="2"/>
        <item t="default"/>
      </items>
    </pivotField>
    <pivotField showAll="0">
      <items count="4">
        <item h="1" x="0"/>
        <item h="1" x="1"/>
        <item x="2"/>
        <item t="default"/>
      </items>
    </pivotField>
    <pivotField showAll="0"/>
    <pivotField numFmtId="164" showAll="0"/>
    <pivotField showAll="0"/>
    <pivotField showAll="0"/>
    <pivotField dataField="1" showAll="0"/>
  </pivotFields>
  <rowFields count="1">
    <field x="6"/>
  </rowFields>
  <rowItems count="4">
    <i>
      <x v="1"/>
    </i>
    <i>
      <x v="2"/>
    </i>
    <i>
      <x v="3"/>
    </i>
    <i t="grand">
      <x/>
    </i>
  </rowItems>
  <colItems count="1">
    <i/>
  </colItems>
  <dataFields count="1">
    <dataField name="Sum of Profit" fld="12" baseField="0" baseItem="0" numFmtId="44"/>
  </dataFields>
  <formats count="3">
    <format dxfId="468">
      <pivotArea collapsedLevelsAreSubtotals="1" fieldPosition="0">
        <references count="1">
          <reference field="6" count="0"/>
        </references>
      </pivotArea>
    </format>
    <format dxfId="344">
      <pivotArea outline="0" fieldPosition="0">
        <references count="1">
          <reference field="4294967294" count="1">
            <x v="0"/>
          </reference>
        </references>
      </pivotArea>
    </format>
    <format dxfId="4">
      <pivotArea outline="0" collapsedLevelsAreSubtotals="1" fieldPosition="0"/>
    </format>
  </formats>
  <chartFormats count="16">
    <chartFormat chart="6"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6" count="1" selected="0">
            <x v="1"/>
          </reference>
        </references>
      </pivotArea>
    </chartFormat>
    <chartFormat chart="15" format="4">
      <pivotArea type="data" outline="0" fieldPosition="0">
        <references count="2">
          <reference field="4294967294" count="1" selected="0">
            <x v="0"/>
          </reference>
          <reference field="6" count="1" selected="0">
            <x v="2"/>
          </reference>
        </references>
      </pivotArea>
    </chartFormat>
    <chartFormat chart="15" format="5">
      <pivotArea type="data" outline="0" fieldPosition="0">
        <references count="2">
          <reference field="4294967294" count="1" selected="0">
            <x v="0"/>
          </reference>
          <reference field="6" count="1" selected="0">
            <x v="3"/>
          </reference>
        </references>
      </pivotArea>
    </chartFormat>
    <chartFormat chart="15" format="6">
      <pivotArea type="data" outline="0" fieldPosition="0">
        <references count="2">
          <reference field="4294967294" count="1" selected="0">
            <x v="0"/>
          </reference>
          <reference field="6" count="1" selected="0">
            <x v="0"/>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6" count="1" selected="0">
            <x v="0"/>
          </reference>
        </references>
      </pivotArea>
    </chartFormat>
    <chartFormat chart="20" format="14">
      <pivotArea type="data" outline="0" fieldPosition="0">
        <references count="2">
          <reference field="4294967294" count="1" selected="0">
            <x v="0"/>
          </reference>
          <reference field="6" count="1" selected="0">
            <x v="1"/>
          </reference>
        </references>
      </pivotArea>
    </chartFormat>
    <chartFormat chart="20" format="15">
      <pivotArea type="data" outline="0" fieldPosition="0">
        <references count="2">
          <reference field="4294967294" count="1" selected="0">
            <x v="0"/>
          </reference>
          <reference field="6" count="1" selected="0">
            <x v="2"/>
          </reference>
        </references>
      </pivotArea>
    </chartFormat>
    <chartFormat chart="20" format="16">
      <pivotArea type="data" outline="0" fieldPosition="0">
        <references count="2">
          <reference field="4294967294" count="1" selected="0">
            <x v="0"/>
          </reference>
          <reference field="6" count="1" selected="0">
            <x v="3"/>
          </reference>
        </references>
      </pivotArea>
    </chartFormat>
    <chartFormat chart="31" format="22" series="1">
      <pivotArea type="data" outline="0" fieldPosition="0">
        <references count="1">
          <reference field="4294967294" count="1" selected="0">
            <x v="0"/>
          </reference>
        </references>
      </pivotArea>
    </chartFormat>
    <chartFormat chart="31" format="23">
      <pivotArea type="data" outline="0" fieldPosition="0">
        <references count="2">
          <reference field="4294967294" count="1" selected="0">
            <x v="0"/>
          </reference>
          <reference field="6" count="1" selected="0">
            <x v="0"/>
          </reference>
        </references>
      </pivotArea>
    </chartFormat>
    <chartFormat chart="31" format="24">
      <pivotArea type="data" outline="0" fieldPosition="0">
        <references count="2">
          <reference field="4294967294" count="1" selected="0">
            <x v="0"/>
          </reference>
          <reference field="6" count="1" selected="0">
            <x v="1"/>
          </reference>
        </references>
      </pivotArea>
    </chartFormat>
    <chartFormat chart="31" format="25">
      <pivotArea type="data" outline="0" fieldPosition="0">
        <references count="2">
          <reference field="4294967294" count="1" selected="0">
            <x v="0"/>
          </reference>
          <reference field="6" count="1" selected="0">
            <x v="2"/>
          </reference>
        </references>
      </pivotArea>
    </chartFormat>
    <chartFormat chart="31" format="2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32B29C-8420-4344-A99F-EC57C038B59D}" name="PivotTable8" cacheId="16" applyNumberFormats="0" applyBorderFormats="0" applyFontFormats="0" applyPatternFormats="0" applyAlignmentFormats="0" applyWidthHeightFormats="1" dataCaption="Values" updatedVersion="8" minRefreshableVersion="3" enableDrill="0" itemPrintTitles="1" createdVersion="8" indent="0" outline="1" outlineData="1" multipleFieldFilters="0" chartFormat="1">
  <location ref="B3:B4" firstHeaderRow="1" firstDataRow="1" firstDataCol="0"/>
  <pivotFields count="13">
    <pivotField showAll="0"/>
    <pivotField showAll="0"/>
    <pivotField showAll="0"/>
    <pivotField showAll="0"/>
    <pivotField showAll="0"/>
    <pivotField showAll="0"/>
    <pivotField showAll="0">
      <items count="5">
        <item h="1" x="0"/>
        <item h="1" x="1"/>
        <item h="1" x="3"/>
        <item x="2"/>
        <item t="default"/>
      </items>
    </pivotField>
    <pivotField showAll="0">
      <items count="4">
        <item h="1" x="0"/>
        <item h="1" x="1"/>
        <item x="2"/>
        <item t="default"/>
      </items>
    </pivotField>
    <pivotField showAll="0"/>
    <pivotField dataField="1" numFmtId="164" showAll="0"/>
    <pivotField showAll="0"/>
    <pivotField showAll="0"/>
    <pivotField showAll="0"/>
  </pivotFields>
  <rowItems count="1">
    <i/>
  </rowItems>
  <colItems count="1">
    <i/>
  </colItems>
  <dataFields count="1">
    <dataField name="Sum of Sales" fld="9" baseField="0" baseItem="0" numFmtId="164"/>
  </dataFields>
  <formats count="1">
    <format dxfId="4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D86FCE-8171-43DA-A121-CAA824F6ED9E}" name="Top State" cacheId="16" applyNumberFormats="0" applyBorderFormats="0" applyFontFormats="0" applyPatternFormats="0" applyAlignmentFormats="0" applyWidthHeightFormats="1" dataCaption="Values" updatedVersion="8" minRefreshableVersion="3" enableDrill="0" itemPrintTitles="1" createdVersion="8" indent="0" outline="1" outlineData="1" multipleFieldFilters="0" chartFormat="39">
  <location ref="F22:G26" firstHeaderRow="1" firstDataRow="1" firstDataCol="1"/>
  <pivotFields count="13">
    <pivotField showAll="0"/>
    <pivotField showAll="0"/>
    <pivotField showAll="0"/>
    <pivotField showAll="0" measureFilter="1"/>
    <pivotField axis="axisRow" showAll="0" measureFilter="1">
      <items count="23">
        <item x="19"/>
        <item x="16"/>
        <item x="1"/>
        <item x="13"/>
        <item x="2"/>
        <item x="10"/>
        <item x="14"/>
        <item x="0"/>
        <item x="12"/>
        <item x="11"/>
        <item x="7"/>
        <item x="15"/>
        <item x="3"/>
        <item x="21"/>
        <item x="8"/>
        <item x="20"/>
        <item x="18"/>
        <item x="5"/>
        <item x="9"/>
        <item x="17"/>
        <item x="4"/>
        <item x="6"/>
        <item t="default"/>
      </items>
    </pivotField>
    <pivotField showAll="0"/>
    <pivotField showAll="0">
      <items count="5">
        <item h="1" x="0"/>
        <item h="1" x="1"/>
        <item h="1" x="3"/>
        <item x="2"/>
        <item t="default"/>
      </items>
    </pivotField>
    <pivotField showAll="0">
      <items count="4">
        <item h="1" x="0"/>
        <item h="1" x="1"/>
        <item x="2"/>
        <item t="default"/>
      </items>
    </pivotField>
    <pivotField showAll="0"/>
    <pivotField dataField="1" numFmtId="164" showAll="0"/>
    <pivotField showAll="0"/>
    <pivotField showAll="0"/>
    <pivotField showAll="0"/>
  </pivotFields>
  <rowFields count="1">
    <field x="4"/>
  </rowFields>
  <rowItems count="4">
    <i>
      <x v="5"/>
    </i>
    <i>
      <x v="9"/>
    </i>
    <i>
      <x v="17"/>
    </i>
    <i t="grand">
      <x/>
    </i>
  </rowItems>
  <colItems count="1">
    <i/>
  </colItems>
  <dataFields count="1">
    <dataField name="Sum of Sales" fld="9" showDataAs="percentOfTotal" baseField="0" baseItem="0" numFmtId="10"/>
  </dataFields>
  <formats count="2">
    <format dxfId="471">
      <pivotArea outline="0" collapsedLevelsAreSubtotals="1" fieldPosition="0"/>
    </format>
    <format dxfId="470">
      <pivotArea outline="0" fieldPosition="0">
        <references count="1">
          <reference field="4294967294" count="1">
            <x v="0"/>
          </reference>
        </references>
      </pivotArea>
    </format>
  </formats>
  <chartFormats count="7">
    <chartFormat chart="7" format="9"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23"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3" iMeasureFld="0">
      <autoFilter ref="A1">
        <filterColumn colId="0">
          <top10 val="5" filterVal="5"/>
        </filterColumn>
      </autoFilter>
    </filter>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68F8E2-2F6D-4EE4-8CBF-28C39ACEBE87}" name="Top City" cacheId="16" applyNumberFormats="0" applyBorderFormats="0" applyFontFormats="0" applyPatternFormats="0" applyAlignmentFormats="0" applyWidthHeightFormats="1" dataCaption="Values" updatedVersion="8" minRefreshableVersion="3" enableDrill="0" itemPrintTitles="1" createdVersion="8" indent="0" outline="1" outlineData="1" multipleFieldFilters="0" chartFormat="35">
  <location ref="I23:J29" firstHeaderRow="1" firstDataRow="1" firstDataCol="1"/>
  <pivotFields count="13">
    <pivotField showAll="0"/>
    <pivotField showAll="0"/>
    <pivotField showAll="0"/>
    <pivotField axis="axisRow" showAll="0" measureFilter="1">
      <items count="34">
        <item x="21"/>
        <item x="28"/>
        <item x="3"/>
        <item x="26"/>
        <item x="17"/>
        <item x="27"/>
        <item x="15"/>
        <item x="2"/>
        <item x="5"/>
        <item x="8"/>
        <item x="22"/>
        <item x="0"/>
        <item x="11"/>
        <item x="24"/>
        <item x="1"/>
        <item x="6"/>
        <item x="14"/>
        <item x="25"/>
        <item x="30"/>
        <item x="13"/>
        <item x="18"/>
        <item x="19"/>
        <item x="10"/>
        <item x="9"/>
        <item x="31"/>
        <item x="12"/>
        <item x="29"/>
        <item x="32"/>
        <item x="7"/>
        <item x="4"/>
        <item x="23"/>
        <item x="20"/>
        <item x="16"/>
        <item t="default"/>
      </items>
    </pivotField>
    <pivotField showAll="0" measureFilter="1"/>
    <pivotField showAll="0"/>
    <pivotField showAll="0">
      <items count="5">
        <item h="1" x="0"/>
        <item h="1" x="1"/>
        <item h="1" x="3"/>
        <item x="2"/>
        <item t="default"/>
      </items>
    </pivotField>
    <pivotField showAll="0">
      <items count="4">
        <item h="1" x="0"/>
        <item h="1" x="1"/>
        <item x="2"/>
        <item t="default"/>
      </items>
    </pivotField>
    <pivotField showAll="0"/>
    <pivotField dataField="1" numFmtId="164" showAll="0"/>
    <pivotField showAll="0"/>
    <pivotField showAll="0"/>
    <pivotField showAll="0"/>
  </pivotFields>
  <rowFields count="1">
    <field x="3"/>
  </rowFields>
  <rowItems count="6">
    <i>
      <x v="6"/>
    </i>
    <i>
      <x v="12"/>
    </i>
    <i>
      <x v="19"/>
    </i>
    <i>
      <x v="25"/>
    </i>
    <i>
      <x v="26"/>
    </i>
    <i t="grand">
      <x/>
    </i>
  </rowItems>
  <colItems count="1">
    <i/>
  </colItems>
  <dataFields count="1">
    <dataField name="Sum of Sales" fld="9" showDataAs="percentOfTotal" baseField="0" baseItem="0" numFmtId="10"/>
  </dataFields>
  <formats count="2">
    <format dxfId="473">
      <pivotArea outline="0" collapsedLevelsAreSubtotals="1" fieldPosition="0"/>
    </format>
    <format dxfId="472">
      <pivotArea outline="0" fieldPosition="0">
        <references count="1">
          <reference field="4294967294" count="1">
            <x v="0"/>
          </reference>
        </references>
      </pivotArea>
    </format>
  </formats>
  <chartFormats count="29">
    <chartFormat chart="7" format="9"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31" format="23"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3" count="1" selected="0">
            <x v="7"/>
          </reference>
        </references>
      </pivotArea>
    </chartFormat>
    <chartFormat chart="16" format="18">
      <pivotArea type="data" outline="0" fieldPosition="0">
        <references count="2">
          <reference field="4294967294" count="1" selected="0">
            <x v="0"/>
          </reference>
          <reference field="3" count="1" selected="0">
            <x v="11"/>
          </reference>
        </references>
      </pivotArea>
    </chartFormat>
    <chartFormat chart="16" format="19">
      <pivotArea type="data" outline="0" fieldPosition="0">
        <references count="2">
          <reference field="4294967294" count="1" selected="0">
            <x v="0"/>
          </reference>
          <reference field="3" count="1" selected="0">
            <x v="12"/>
          </reference>
        </references>
      </pivotArea>
    </chartFormat>
    <chartFormat chart="16" format="20">
      <pivotArea type="data" outline="0" fieldPosition="0">
        <references count="2">
          <reference field="4294967294" count="1" selected="0">
            <x v="0"/>
          </reference>
          <reference field="3" count="1" selected="0">
            <x v="17"/>
          </reference>
        </references>
      </pivotArea>
    </chartFormat>
    <chartFormat chart="16" format="21">
      <pivotArea type="data" outline="0" fieldPosition="0">
        <references count="2">
          <reference field="4294967294" count="1" selected="0">
            <x v="0"/>
          </reference>
          <reference field="3" count="1" selected="0">
            <x v="25"/>
          </reference>
        </references>
      </pivotArea>
    </chartFormat>
    <chartFormat chart="31" format="29">
      <pivotArea type="data" outline="0" fieldPosition="0">
        <references count="2">
          <reference field="4294967294" count="1" selected="0">
            <x v="0"/>
          </reference>
          <reference field="3" count="1" selected="0">
            <x v="7"/>
          </reference>
        </references>
      </pivotArea>
    </chartFormat>
    <chartFormat chart="31" format="30">
      <pivotArea type="data" outline="0" fieldPosition="0">
        <references count="2">
          <reference field="4294967294" count="1" selected="0">
            <x v="0"/>
          </reference>
          <reference field="3" count="1" selected="0">
            <x v="11"/>
          </reference>
        </references>
      </pivotArea>
    </chartFormat>
    <chartFormat chart="31" format="31">
      <pivotArea type="data" outline="0" fieldPosition="0">
        <references count="2">
          <reference field="4294967294" count="1" selected="0">
            <x v="0"/>
          </reference>
          <reference field="3" count="1" selected="0">
            <x v="12"/>
          </reference>
        </references>
      </pivotArea>
    </chartFormat>
    <chartFormat chart="31" format="32">
      <pivotArea type="data" outline="0" fieldPosition="0">
        <references count="2">
          <reference field="4294967294" count="1" selected="0">
            <x v="0"/>
          </reference>
          <reference field="3" count="1" selected="0">
            <x v="17"/>
          </reference>
        </references>
      </pivotArea>
    </chartFormat>
    <chartFormat chart="31" format="33">
      <pivotArea type="data" outline="0" fieldPosition="0">
        <references count="2">
          <reference field="4294967294" count="1" selected="0">
            <x v="0"/>
          </reference>
          <reference field="3" count="1" selected="0">
            <x v="25"/>
          </reference>
        </references>
      </pivotArea>
    </chartFormat>
    <chartFormat chart="16" format="22">
      <pivotArea type="data" outline="0" fieldPosition="0">
        <references count="2">
          <reference field="4294967294" count="1" selected="0">
            <x v="0"/>
          </reference>
          <reference field="3" count="1" selected="0">
            <x v="15"/>
          </reference>
        </references>
      </pivotArea>
    </chartFormat>
    <chartFormat chart="16" format="23">
      <pivotArea type="data" outline="0" fieldPosition="0">
        <references count="2">
          <reference field="4294967294" count="1" selected="0">
            <x v="0"/>
          </reference>
          <reference field="3" count="1" selected="0">
            <x v="0"/>
          </reference>
        </references>
      </pivotArea>
    </chartFormat>
    <chartFormat chart="16" format="24">
      <pivotArea type="data" outline="0" fieldPosition="0">
        <references count="2">
          <reference field="4294967294" count="1" selected="0">
            <x v="0"/>
          </reference>
          <reference field="3" count="1" selected="0">
            <x v="1"/>
          </reference>
        </references>
      </pivotArea>
    </chartFormat>
    <chartFormat chart="16" format="25">
      <pivotArea type="data" outline="0" fieldPosition="0">
        <references count="2">
          <reference field="4294967294" count="1" selected="0">
            <x v="0"/>
          </reference>
          <reference field="3" count="1" selected="0">
            <x v="3"/>
          </reference>
        </references>
      </pivotArea>
    </chartFormat>
    <chartFormat chart="16" format="26">
      <pivotArea type="data" outline="0" fieldPosition="0">
        <references count="2">
          <reference field="4294967294" count="1" selected="0">
            <x v="0"/>
          </reference>
          <reference field="3" count="1" selected="0">
            <x v="23"/>
          </reference>
        </references>
      </pivotArea>
    </chartFormat>
    <chartFormat chart="16" format="27">
      <pivotArea type="data" outline="0" fieldPosition="0">
        <references count="2">
          <reference field="4294967294" count="1" selected="0">
            <x v="0"/>
          </reference>
          <reference field="3" count="1" selected="0">
            <x v="32"/>
          </reference>
        </references>
      </pivotArea>
    </chartFormat>
    <chartFormat chart="16" format="28">
      <pivotArea type="data" outline="0" fieldPosition="0">
        <references count="2">
          <reference field="4294967294" count="1" selected="0">
            <x v="0"/>
          </reference>
          <reference field="3" count="1" selected="0">
            <x v="21"/>
          </reference>
        </references>
      </pivotArea>
    </chartFormat>
    <chartFormat chart="16" format="29">
      <pivotArea type="data" outline="0" fieldPosition="0">
        <references count="2">
          <reference field="4294967294" count="1" selected="0">
            <x v="0"/>
          </reference>
          <reference field="3" count="1" selected="0">
            <x v="14"/>
          </reference>
        </references>
      </pivotArea>
    </chartFormat>
    <chartFormat chart="16" format="30">
      <pivotArea type="data" outline="0" fieldPosition="0">
        <references count="2">
          <reference field="4294967294" count="1" selected="0">
            <x v="0"/>
          </reference>
          <reference field="3" count="1" selected="0">
            <x v="10"/>
          </reference>
        </references>
      </pivotArea>
    </chartFormat>
    <chartFormat chart="16" format="31">
      <pivotArea type="data" outline="0" fieldPosition="0">
        <references count="2">
          <reference field="4294967294" count="1" selected="0">
            <x v="0"/>
          </reference>
          <reference field="3" count="1" selected="0">
            <x v="22"/>
          </reference>
        </references>
      </pivotArea>
    </chartFormat>
    <chartFormat chart="16" format="32">
      <pivotArea type="data" outline="0" fieldPosition="0">
        <references count="2">
          <reference field="4294967294" count="1" selected="0">
            <x v="0"/>
          </reference>
          <reference field="3" count="1" selected="0">
            <x v="29"/>
          </reference>
        </references>
      </pivotArea>
    </chartFormat>
    <chartFormat chart="16" format="33">
      <pivotArea type="data" outline="0" fieldPosition="0">
        <references count="2">
          <reference field="4294967294" count="1" selected="0">
            <x v="0"/>
          </reference>
          <reference field="3" count="1" selected="0">
            <x v="28"/>
          </reference>
        </references>
      </pivotArea>
    </chartFormat>
    <chartFormat chart="16" format="34">
      <pivotArea type="data" outline="0" fieldPosition="0">
        <references count="2">
          <reference field="4294967294" count="1" selected="0">
            <x v="0"/>
          </reference>
          <reference field="3" count="1" selected="0">
            <x v="31"/>
          </reference>
        </references>
      </pivotArea>
    </chartFormat>
    <chartFormat chart="31" format="34">
      <pivotArea type="data" outline="0" fieldPosition="0">
        <references count="2">
          <reference field="4294967294" count="1" selected="0">
            <x v="0"/>
          </reference>
          <reference field="3" count="1" selected="0">
            <x v="21"/>
          </reference>
        </references>
      </pivotArea>
    </chartFormat>
    <chartFormat chart="31" format="35">
      <pivotArea type="data" outline="0" fieldPosition="0">
        <references count="2">
          <reference field="4294967294" count="1" selected="0">
            <x v="0"/>
          </reference>
          <reference field="3" count="1" selected="0">
            <x v="23"/>
          </reference>
        </references>
      </pivotArea>
    </chartFormat>
    <chartFormat chart="31" format="36">
      <pivotArea type="data" outline="0" fieldPosition="0">
        <references count="2">
          <reference field="4294967294" count="1" selected="0">
            <x v="0"/>
          </reference>
          <reference field="3" count="1" selected="0">
            <x v="31"/>
          </reference>
        </references>
      </pivotArea>
    </chartFormat>
  </chartFormats>
  <pivotTableStyleInfo name="PivotStyleLight16" showRowHeaders="1" showColHeaders="1" showRowStripes="0" showColStripes="0" showLastColumn="1"/>
  <filters count="2">
    <filter fld="3" type="count" evalOrder="-1" id="2" iMeasureFld="0">
      <autoFilter ref="A1">
        <filterColumn colId="0">
          <top10 val="5" filterVal="5"/>
        </filterColumn>
      </autoFilter>
    </filter>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380C4D-8E17-420D-AE9D-C61B1BD376AA}" name="PivotTable5" cacheId="16" applyNumberFormats="0" applyBorderFormats="0" applyFontFormats="0" applyPatternFormats="0" applyAlignmentFormats="0" applyWidthHeightFormats="1" dataCaption="Values" updatedVersion="8" minRefreshableVersion="3" enableDrill="0" itemPrintTitles="1" createdVersion="8" indent="0" outline="1" outlineData="1" multipleFieldFilters="0" chartFormat="1">
  <location ref="F3:F4" firstHeaderRow="1" firstDataRow="1" firstDataCol="0"/>
  <pivotFields count="13">
    <pivotField showAll="0"/>
    <pivotField showAll="0"/>
    <pivotField showAll="0"/>
    <pivotField showAll="0"/>
    <pivotField showAll="0"/>
    <pivotField showAll="0"/>
    <pivotField showAll="0">
      <items count="5">
        <item h="1" x="0"/>
        <item h="1" x="1"/>
        <item h="1" x="3"/>
        <item x="2"/>
        <item t="default"/>
      </items>
    </pivotField>
    <pivotField showAll="0">
      <items count="4">
        <item h="1" x="0"/>
        <item h="1" x="1"/>
        <item x="2"/>
        <item t="default"/>
      </items>
    </pivotField>
    <pivotField showAll="0"/>
    <pivotField numFmtId="164" showAll="0"/>
    <pivotField showAll="0"/>
    <pivotField showAll="0"/>
    <pivotField dataField="1" showAll="0"/>
  </pivotFields>
  <rowItems count="1">
    <i/>
  </rowItems>
  <colItems count="1">
    <i/>
  </colItems>
  <dataFields count="1">
    <dataField name="Sum of Profit" fld="12" baseField="0" baseItem="0" numFmtId="164"/>
  </dataFields>
  <formats count="1">
    <format dxfId="4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048B1C-D246-44AD-B0CB-C9CBF37CE607}" name="PivotTable7" cacheId="16" applyNumberFormats="0" applyBorderFormats="0" applyFontFormats="0" applyPatternFormats="0" applyAlignmentFormats="0" applyWidthHeightFormats="1" dataCaption="Values" updatedVersion="8" minRefreshableVersion="3" enableDrill="0" itemPrintTitles="1" createdVersion="8" indent="0" outline="1" outlineData="1" multipleFieldFilters="0" chartFormat="33">
  <location ref="F10:F11" firstHeaderRow="1" firstDataRow="1" firstDataCol="0"/>
  <pivotFields count="13">
    <pivotField showAll="0"/>
    <pivotField showAll="0"/>
    <pivotField showAll="0"/>
    <pivotField showAll="0" measureFilter="1"/>
    <pivotField showAll="0"/>
    <pivotField showAll="0"/>
    <pivotField showAll="0">
      <items count="5">
        <item h="1" x="0"/>
        <item h="1" x="1"/>
        <item h="1" x="3"/>
        <item x="2"/>
        <item t="default"/>
      </items>
    </pivotField>
    <pivotField showAll="0">
      <items count="4">
        <item h="1" x="0"/>
        <item h="1" x="1"/>
        <item x="2"/>
        <item t="default"/>
      </items>
    </pivotField>
    <pivotField showAll="0"/>
    <pivotField dataField="1" numFmtId="164" showAll="0"/>
    <pivotField showAll="0"/>
    <pivotField showAll="0"/>
    <pivotField showAll="0"/>
  </pivotFields>
  <rowItems count="1">
    <i/>
  </rowItems>
  <colItems count="1">
    <i/>
  </colItems>
  <dataFields count="1">
    <dataField name="Sum of Sales" fld="9" baseField="0" baseItem="0" numFmtId="44"/>
  </dataFields>
  <formats count="1">
    <format dxfId="1">
      <pivotArea outline="0" collapsedLevelsAreSubtotals="1" fieldPosition="0"/>
    </format>
  </formats>
  <chartFormats count="5">
    <chartFormat chart="10" format="13" series="1">
      <pivotArea type="data" outline="0" fieldPosition="0">
        <references count="1">
          <reference field="4294967294" count="1" selected="0">
            <x v="0"/>
          </reference>
        </references>
      </pivotArea>
    </chartFormat>
    <chartFormat chart="12" format="16"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071DE0-C57F-4143-B91E-AF14AA929A9B}" name="PivotTable6" cacheId="16" applyNumberFormats="0" applyBorderFormats="0" applyFontFormats="0" applyPatternFormats="0" applyAlignmentFormats="0" applyWidthHeightFormats="1" dataCaption="Values" updatedVersion="8" minRefreshableVersion="3" enableDrill="0" itemPrintTitles="1" createdVersion="8" indent="0" outline="1" outlineData="1" multipleFieldFilters="0" chartFormat="1">
  <location ref="D3:D4" firstHeaderRow="1" firstDataRow="1" firstDataCol="0"/>
  <pivotFields count="13">
    <pivotField showAll="0"/>
    <pivotField showAll="0"/>
    <pivotField showAll="0"/>
    <pivotField showAll="0"/>
    <pivotField showAll="0"/>
    <pivotField showAll="0"/>
    <pivotField showAll="0">
      <items count="5">
        <item h="1" x="0"/>
        <item h="1" x="1"/>
        <item h="1" x="3"/>
        <item x="2"/>
        <item t="default"/>
      </items>
    </pivotField>
    <pivotField showAll="0">
      <items count="4">
        <item h="1" x="0"/>
        <item h="1" x="1"/>
        <item x="2"/>
        <item t="default"/>
      </items>
    </pivotField>
    <pivotField showAll="0"/>
    <pivotField numFmtId="164" showAll="0"/>
    <pivotField dataField="1" showAll="0"/>
    <pivotField showAll="0"/>
    <pivotField showAll="0"/>
  </pivotFields>
  <rowItems count="1">
    <i/>
  </rowItems>
  <colItems count="1">
    <i/>
  </colItems>
  <dataFields count="1">
    <dataField name="Count of Quantity" fld="10" subtotal="count" baseField="0" baseItem="1"/>
  </dataFields>
  <formats count="1">
    <format dxfId="4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455551-65BF-4748-B800-E9DED1EA9382}" sourceName="Region">
  <pivotTables>
    <pivotTable tabId="50" name="Top City"/>
    <pivotTable tabId="50" name="PivotTable5"/>
    <pivotTable tabId="50" name="PivotTable6"/>
    <pivotTable tabId="50" name="Segment"/>
    <pivotTable tabId="50" name="PivotTable7"/>
    <pivotTable tabId="50" name="PivotTable8"/>
    <pivotTable tabId="50" name="Top State"/>
  </pivotTables>
  <data>
    <tabular pivotCacheId="1350658824">
      <items count="4">
        <i x="1"/>
        <i x="3"/>
        <i x="2" s="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4252B8-EC33-47D4-AD55-D744E68787C7}" sourceName="Category">
  <pivotTables>
    <pivotTable tabId="50" name="PivotTable5"/>
    <pivotTable tabId="50" name="PivotTable6"/>
    <pivotTable tabId="50" name="PivotTable7"/>
    <pivotTable tabId="50" name="PivotTable8"/>
    <pivotTable tabId="50" name="Region"/>
    <pivotTable tabId="50" name="Segment"/>
    <pivotTable tabId="50" name="Top State"/>
    <pivotTable tabId="50" name="Top City"/>
  </pivotTables>
  <data>
    <tabular pivotCacheId="1350658824">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A50246D-7956-4021-947B-D90B1664A13F}" cache="Slicer_Region" caption="Region" style="SlicerStyleLight1 2" rowHeight="365760"/>
  <slicer name="Category 1" xr10:uid="{DAFC1A90-F3E6-4666-B089-7DB386D15C5D}" cache="Slicer_Category" caption="Category" style="SlicerStyleLight1 2"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6ACDB19-A353-4CE8-B33E-285F36E98244}" cache="Slicer_Region" caption="Region" style="SlicerStyleLight1 2" rowHeight="234950"/>
  <slicer name="Category" xr10:uid="{967CD7A9-ACF0-4B85-A5C2-4BCA38273BDB}" cache="Slicer_Category" caption="Category"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4C00F9-4732-4574-9E65-C6226B1FA491}" name="Table1" displayName="Table1" ref="A5:M103" totalsRowShown="0">
  <autoFilter ref="A5:M103" xr:uid="{024C00F9-4732-4574-9E65-C6226B1FA491}"/>
  <tableColumns count="13">
    <tableColumn id="1" xr3:uid="{CF39574A-3D77-488B-9A0D-AF912A24B4C8}" name="Ship Mode" dataDxfId="488"/>
    <tableColumn id="2" xr3:uid="{8E0AA64D-09EB-43F7-9083-2303DC7F01C0}" name="Segment" dataDxfId="487"/>
    <tableColumn id="3" xr3:uid="{AB269D45-BA49-4AFA-918D-0DCA24B25FB3}" name="Country" dataDxfId="486"/>
    <tableColumn id="4" xr3:uid="{B9461419-0A99-42A9-A497-FC260A55753C}" name="City" dataDxfId="485"/>
    <tableColumn id="5" xr3:uid="{D37CC5CD-B66A-45B7-9301-9C0DFB5D69F6}" name="State" dataDxfId="484"/>
    <tableColumn id="6" xr3:uid="{C009A46A-9EEE-4B0F-AB14-E89406DC5169}" name="Postal Code" dataDxfId="483"/>
    <tableColumn id="7" xr3:uid="{4830A620-6A77-4B6B-8537-3E31A5FAE240}" name="Region" dataDxfId="482"/>
    <tableColumn id="8" xr3:uid="{4B1D3FAD-7318-4471-B036-5DE223DFCA6D}" name="Category" dataDxfId="481"/>
    <tableColumn id="9" xr3:uid="{0D5978DA-67D5-4EB2-AE59-B957A90AA96C}" name="Sub-Category" dataDxfId="480"/>
    <tableColumn id="10" xr3:uid="{E9DF28F1-2B89-49E0-82C4-D55B0D72229D}" name="Sales" dataDxfId="479"/>
    <tableColumn id="11" xr3:uid="{A7E30913-4176-4855-8D64-6D7C1BEB531C}" name="Quantity" dataDxfId="478"/>
    <tableColumn id="12" xr3:uid="{0F736A4A-589D-4667-9CF0-6CEFF566F9AD}" name="Discount" dataDxfId="477"/>
    <tableColumn id="13" xr3:uid="{41964291-4CA1-4BF1-8E45-292DF1F1CFBB}" name="Profit" dataDxfId="47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21395-119B-4901-84FC-D35CF9450EC5}">
  <dimension ref="A1"/>
  <sheetViews>
    <sheetView showGridLines="0" tabSelected="1" workbookViewId="0">
      <selection activeCell="G46" sqref="G46"/>
    </sheetView>
  </sheetViews>
  <sheetFormatPr defaultRowHeight="14.4" x14ac:dyDescent="0.3"/>
  <cols>
    <col min="6" max="6" width="9"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F50E-BDE2-4ACB-8C10-C2A267C2825E}">
  <dimension ref="A1:M103"/>
  <sheetViews>
    <sheetView workbookViewId="0">
      <selection activeCell="Q9" sqref="Q9"/>
    </sheetView>
  </sheetViews>
  <sheetFormatPr defaultRowHeight="14.4" x14ac:dyDescent="0.3"/>
  <cols>
    <col min="1" max="1" width="12.77734375" bestFit="1" customWidth="1"/>
    <col min="2" max="2" width="11.33203125" bestFit="1" customWidth="1"/>
    <col min="3" max="3" width="11.88671875" bestFit="1" customWidth="1"/>
    <col min="4" max="4" width="13.88671875" bestFit="1" customWidth="1"/>
    <col min="5" max="6" width="13.109375" bestFit="1" customWidth="1"/>
    <col min="7" max="7" width="9" bestFit="1" customWidth="1"/>
    <col min="8" max="8" width="13.109375" bestFit="1" customWidth="1"/>
    <col min="9" max="9" width="14.6640625" bestFit="1" customWidth="1"/>
    <col min="10" max="10" width="9" bestFit="1" customWidth="1"/>
    <col min="11" max="12" width="10.5546875" bestFit="1" customWidth="1"/>
    <col min="13" max="13" width="10.6640625" bestFit="1" customWidth="1"/>
  </cols>
  <sheetData>
    <row r="1" spans="1:13" x14ac:dyDescent="0.3">
      <c r="A1" s="9" t="s">
        <v>101</v>
      </c>
      <c r="B1" s="10"/>
      <c r="C1" s="10"/>
      <c r="D1" s="10"/>
      <c r="E1" s="10"/>
      <c r="F1" s="10"/>
      <c r="G1" s="10"/>
      <c r="H1" s="10"/>
      <c r="I1" s="10"/>
      <c r="J1" s="10"/>
      <c r="K1" s="10"/>
      <c r="L1" s="10"/>
      <c r="M1" s="11"/>
    </row>
    <row r="2" spans="1:13" ht="15" thickBot="1" x14ac:dyDescent="0.35">
      <c r="A2" s="12"/>
      <c r="B2" s="13"/>
      <c r="C2" s="13"/>
      <c r="D2" s="13"/>
      <c r="E2" s="13"/>
      <c r="F2" s="13"/>
      <c r="G2" s="13"/>
      <c r="H2" s="13"/>
      <c r="I2" s="13"/>
      <c r="J2" s="13"/>
      <c r="K2" s="13"/>
      <c r="L2" s="13"/>
      <c r="M2" s="14"/>
    </row>
    <row r="3" spans="1:13" x14ac:dyDescent="0.3">
      <c r="A3" s="4"/>
      <c r="B3" s="4"/>
      <c r="C3" s="4"/>
      <c r="D3" s="4"/>
      <c r="E3" s="4"/>
      <c r="F3" s="4"/>
      <c r="G3" s="4"/>
      <c r="H3" s="4"/>
      <c r="I3" s="4"/>
      <c r="J3" s="4"/>
      <c r="K3" s="4"/>
      <c r="L3" s="4"/>
      <c r="M3" s="4"/>
    </row>
    <row r="5" spans="1:13" x14ac:dyDescent="0.3">
      <c r="A5" t="s">
        <v>0</v>
      </c>
      <c r="B5" t="s">
        <v>1</v>
      </c>
      <c r="C5" t="s">
        <v>2</v>
      </c>
      <c r="D5" t="s">
        <v>3</v>
      </c>
      <c r="E5" t="s">
        <v>4</v>
      </c>
      <c r="F5" t="s">
        <v>5</v>
      </c>
      <c r="G5" t="s">
        <v>6</v>
      </c>
      <c r="H5" t="s">
        <v>7</v>
      </c>
      <c r="I5" t="s">
        <v>8</v>
      </c>
      <c r="J5" s="3" t="s">
        <v>9</v>
      </c>
      <c r="K5" t="s">
        <v>10</v>
      </c>
      <c r="L5" t="s">
        <v>11</v>
      </c>
      <c r="M5" t="s">
        <v>12</v>
      </c>
    </row>
    <row r="6" spans="1:13" x14ac:dyDescent="0.3">
      <c r="A6" s="7" t="s">
        <v>13</v>
      </c>
      <c r="B6" s="7" t="s">
        <v>14</v>
      </c>
      <c r="C6" s="7" t="s">
        <v>15</v>
      </c>
      <c r="D6" s="7" t="s">
        <v>16</v>
      </c>
      <c r="E6" s="7" t="s">
        <v>17</v>
      </c>
      <c r="F6" s="7">
        <v>42420</v>
      </c>
      <c r="G6" s="7" t="s">
        <v>18</v>
      </c>
      <c r="H6" s="7" t="s">
        <v>19</v>
      </c>
      <c r="I6" s="7" t="s">
        <v>20</v>
      </c>
      <c r="J6" s="8">
        <v>261.95999999999998</v>
      </c>
      <c r="K6" s="7">
        <v>2</v>
      </c>
      <c r="L6" s="7">
        <v>0</v>
      </c>
      <c r="M6" s="7">
        <v>41.913600000000002</v>
      </c>
    </row>
    <row r="7" spans="1:13" x14ac:dyDescent="0.3">
      <c r="A7" s="7" t="s">
        <v>13</v>
      </c>
      <c r="B7" s="7" t="s">
        <v>14</v>
      </c>
      <c r="C7" s="7" t="s">
        <v>15</v>
      </c>
      <c r="D7" s="7" t="s">
        <v>16</v>
      </c>
      <c r="E7" s="7" t="s">
        <v>17</v>
      </c>
      <c r="F7" s="7">
        <v>42420</v>
      </c>
      <c r="G7" s="7" t="s">
        <v>18</v>
      </c>
      <c r="H7" s="7" t="s">
        <v>19</v>
      </c>
      <c r="I7" s="7" t="s">
        <v>21</v>
      </c>
      <c r="J7" s="8">
        <v>731.94</v>
      </c>
      <c r="K7" s="7">
        <v>3</v>
      </c>
      <c r="L7" s="7">
        <v>0</v>
      </c>
      <c r="M7" s="7">
        <v>219.58199999999999</v>
      </c>
    </row>
    <row r="8" spans="1:13" x14ac:dyDescent="0.3">
      <c r="A8" s="7" t="s">
        <v>13</v>
      </c>
      <c r="B8" s="7" t="s">
        <v>22</v>
      </c>
      <c r="C8" s="7" t="s">
        <v>15</v>
      </c>
      <c r="D8" s="7" t="s">
        <v>23</v>
      </c>
      <c r="E8" s="7" t="s">
        <v>24</v>
      </c>
      <c r="F8" s="7">
        <v>90036</v>
      </c>
      <c r="G8" s="7" t="s">
        <v>25</v>
      </c>
      <c r="H8" s="7" t="s">
        <v>26</v>
      </c>
      <c r="I8" s="7" t="s">
        <v>27</v>
      </c>
      <c r="J8" s="8">
        <v>14.62</v>
      </c>
      <c r="K8" s="7">
        <v>2</v>
      </c>
      <c r="L8" s="7">
        <v>0</v>
      </c>
      <c r="M8" s="7">
        <v>6.8714000000000004</v>
      </c>
    </row>
    <row r="9" spans="1:13" x14ac:dyDescent="0.3">
      <c r="A9" s="7" t="s">
        <v>28</v>
      </c>
      <c r="B9" s="7" t="s">
        <v>14</v>
      </c>
      <c r="C9" s="7" t="s">
        <v>15</v>
      </c>
      <c r="D9" s="7" t="s">
        <v>29</v>
      </c>
      <c r="E9" s="7" t="s">
        <v>30</v>
      </c>
      <c r="F9" s="7">
        <v>33311</v>
      </c>
      <c r="G9" s="7" t="s">
        <v>18</v>
      </c>
      <c r="H9" s="7" t="s">
        <v>19</v>
      </c>
      <c r="I9" s="7" t="s">
        <v>31</v>
      </c>
      <c r="J9" s="8">
        <v>957.57749999999999</v>
      </c>
      <c r="K9" s="7">
        <v>5</v>
      </c>
      <c r="L9" s="7">
        <v>0.45</v>
      </c>
      <c r="M9" s="7">
        <v>-383.03100000000001</v>
      </c>
    </row>
    <row r="10" spans="1:13" x14ac:dyDescent="0.3">
      <c r="A10" s="7" t="s">
        <v>28</v>
      </c>
      <c r="B10" s="7" t="s">
        <v>14</v>
      </c>
      <c r="C10" s="7" t="s">
        <v>15</v>
      </c>
      <c r="D10" s="7" t="s">
        <v>29</v>
      </c>
      <c r="E10" s="7" t="s">
        <v>30</v>
      </c>
      <c r="F10" s="7">
        <v>33311</v>
      </c>
      <c r="G10" s="7" t="s">
        <v>18</v>
      </c>
      <c r="H10" s="7" t="s">
        <v>26</v>
      </c>
      <c r="I10" s="7" t="s">
        <v>32</v>
      </c>
      <c r="J10" s="8">
        <v>22.367999999999999</v>
      </c>
      <c r="K10" s="7">
        <v>2</v>
      </c>
      <c r="L10" s="7">
        <v>0.2</v>
      </c>
      <c r="M10" s="7">
        <v>2.5164</v>
      </c>
    </row>
    <row r="11" spans="1:13" x14ac:dyDescent="0.3">
      <c r="A11" s="7" t="s">
        <v>28</v>
      </c>
      <c r="B11" s="7" t="s">
        <v>14</v>
      </c>
      <c r="C11" s="7" t="s">
        <v>15</v>
      </c>
      <c r="D11" s="7" t="s">
        <v>23</v>
      </c>
      <c r="E11" s="7" t="s">
        <v>24</v>
      </c>
      <c r="F11" s="7">
        <v>90032</v>
      </c>
      <c r="G11" s="7" t="s">
        <v>25</v>
      </c>
      <c r="H11" s="7" t="s">
        <v>19</v>
      </c>
      <c r="I11" s="7" t="s">
        <v>33</v>
      </c>
      <c r="J11" s="8">
        <v>48.86</v>
      </c>
      <c r="K11" s="7">
        <v>7</v>
      </c>
      <c r="L11" s="7">
        <v>0</v>
      </c>
      <c r="M11" s="7">
        <v>14.1694</v>
      </c>
    </row>
    <row r="12" spans="1:13" x14ac:dyDescent="0.3">
      <c r="A12" s="7" t="s">
        <v>28</v>
      </c>
      <c r="B12" s="7" t="s">
        <v>14</v>
      </c>
      <c r="C12" s="7" t="s">
        <v>15</v>
      </c>
      <c r="D12" s="7" t="s">
        <v>23</v>
      </c>
      <c r="E12" s="7" t="s">
        <v>24</v>
      </c>
      <c r="F12" s="7">
        <v>90032</v>
      </c>
      <c r="G12" s="7" t="s">
        <v>25</v>
      </c>
      <c r="H12" s="7" t="s">
        <v>26</v>
      </c>
      <c r="I12" s="7" t="s">
        <v>34</v>
      </c>
      <c r="J12" s="8">
        <v>7.28</v>
      </c>
      <c r="K12" s="7">
        <v>4</v>
      </c>
      <c r="L12" s="7">
        <v>0</v>
      </c>
      <c r="M12" s="7">
        <v>1.9656</v>
      </c>
    </row>
    <row r="13" spans="1:13" x14ac:dyDescent="0.3">
      <c r="A13" s="7" t="s">
        <v>28</v>
      </c>
      <c r="B13" s="7" t="s">
        <v>14</v>
      </c>
      <c r="C13" s="7" t="s">
        <v>15</v>
      </c>
      <c r="D13" s="7" t="s">
        <v>23</v>
      </c>
      <c r="E13" s="7" t="s">
        <v>24</v>
      </c>
      <c r="F13" s="7">
        <v>90032</v>
      </c>
      <c r="G13" s="7" t="s">
        <v>25</v>
      </c>
      <c r="H13" s="7" t="s">
        <v>35</v>
      </c>
      <c r="I13" s="7" t="s">
        <v>36</v>
      </c>
      <c r="J13" s="8">
        <v>907.15200000000004</v>
      </c>
      <c r="K13" s="7">
        <v>6</v>
      </c>
      <c r="L13" s="7">
        <v>0.2</v>
      </c>
      <c r="M13" s="7">
        <v>90.715199999999996</v>
      </c>
    </row>
    <row r="14" spans="1:13" x14ac:dyDescent="0.3">
      <c r="A14" s="7" t="s">
        <v>28</v>
      </c>
      <c r="B14" s="7" t="s">
        <v>14</v>
      </c>
      <c r="C14" s="7" t="s">
        <v>15</v>
      </c>
      <c r="D14" s="7" t="s">
        <v>23</v>
      </c>
      <c r="E14" s="7" t="s">
        <v>24</v>
      </c>
      <c r="F14" s="7">
        <v>90032</v>
      </c>
      <c r="G14" s="7" t="s">
        <v>25</v>
      </c>
      <c r="H14" s="7" t="s">
        <v>26</v>
      </c>
      <c r="I14" s="7" t="s">
        <v>37</v>
      </c>
      <c r="J14" s="8">
        <v>18.504000000000001</v>
      </c>
      <c r="K14" s="7">
        <v>3</v>
      </c>
      <c r="L14" s="7">
        <v>0.2</v>
      </c>
      <c r="M14" s="7">
        <v>5.7824999999999998</v>
      </c>
    </row>
    <row r="15" spans="1:13" x14ac:dyDescent="0.3">
      <c r="A15" s="7" t="s">
        <v>28</v>
      </c>
      <c r="B15" s="7" t="s">
        <v>14</v>
      </c>
      <c r="C15" s="7" t="s">
        <v>15</v>
      </c>
      <c r="D15" s="7" t="s">
        <v>23</v>
      </c>
      <c r="E15" s="7" t="s">
        <v>24</v>
      </c>
      <c r="F15" s="7">
        <v>90032</v>
      </c>
      <c r="G15" s="7" t="s">
        <v>25</v>
      </c>
      <c r="H15" s="7" t="s">
        <v>26</v>
      </c>
      <c r="I15" s="7" t="s">
        <v>38</v>
      </c>
      <c r="J15" s="8">
        <v>114.9</v>
      </c>
      <c r="K15" s="7">
        <v>5</v>
      </c>
      <c r="L15" s="7">
        <v>0</v>
      </c>
      <c r="M15" s="7">
        <v>34.47</v>
      </c>
    </row>
    <row r="16" spans="1:13" x14ac:dyDescent="0.3">
      <c r="A16" s="7" t="s">
        <v>28</v>
      </c>
      <c r="B16" s="7" t="s">
        <v>14</v>
      </c>
      <c r="C16" s="7" t="s">
        <v>15</v>
      </c>
      <c r="D16" s="7" t="s">
        <v>23</v>
      </c>
      <c r="E16" s="7" t="s">
        <v>24</v>
      </c>
      <c r="F16" s="7">
        <v>90032</v>
      </c>
      <c r="G16" s="7" t="s">
        <v>25</v>
      </c>
      <c r="H16" s="7" t="s">
        <v>19</v>
      </c>
      <c r="I16" s="7" t="s">
        <v>31</v>
      </c>
      <c r="J16" s="8">
        <v>1706.184</v>
      </c>
      <c r="K16" s="7">
        <v>9</v>
      </c>
      <c r="L16" s="7">
        <v>0.2</v>
      </c>
      <c r="M16" s="7">
        <v>85.309200000000004</v>
      </c>
    </row>
    <row r="17" spans="1:13" x14ac:dyDescent="0.3">
      <c r="A17" s="7" t="s">
        <v>28</v>
      </c>
      <c r="B17" s="7" t="s">
        <v>14</v>
      </c>
      <c r="C17" s="7" t="s">
        <v>15</v>
      </c>
      <c r="D17" s="7" t="s">
        <v>23</v>
      </c>
      <c r="E17" s="7" t="s">
        <v>24</v>
      </c>
      <c r="F17" s="7">
        <v>90032</v>
      </c>
      <c r="G17" s="7" t="s">
        <v>25</v>
      </c>
      <c r="H17" s="7" t="s">
        <v>35</v>
      </c>
      <c r="I17" s="7" t="s">
        <v>36</v>
      </c>
      <c r="J17" s="8">
        <v>911.42399999999998</v>
      </c>
      <c r="K17" s="7">
        <v>4</v>
      </c>
      <c r="L17" s="7">
        <v>0.2</v>
      </c>
      <c r="M17" s="7">
        <v>68.356800000000007</v>
      </c>
    </row>
    <row r="18" spans="1:13" x14ac:dyDescent="0.3">
      <c r="A18" s="7" t="s">
        <v>28</v>
      </c>
      <c r="B18" s="7" t="s">
        <v>14</v>
      </c>
      <c r="C18" s="7" t="s">
        <v>15</v>
      </c>
      <c r="D18" s="7" t="s">
        <v>39</v>
      </c>
      <c r="E18" s="7" t="s">
        <v>40</v>
      </c>
      <c r="F18" s="7">
        <v>28027</v>
      </c>
      <c r="G18" s="7" t="s">
        <v>18</v>
      </c>
      <c r="H18" s="7" t="s">
        <v>26</v>
      </c>
      <c r="I18" s="7" t="s">
        <v>41</v>
      </c>
      <c r="J18" s="8">
        <v>15.552</v>
      </c>
      <c r="K18" s="7">
        <v>3</v>
      </c>
      <c r="L18" s="7">
        <v>0.2</v>
      </c>
      <c r="M18" s="7">
        <v>5.4432</v>
      </c>
    </row>
    <row r="19" spans="1:13" x14ac:dyDescent="0.3">
      <c r="A19" s="7" t="s">
        <v>28</v>
      </c>
      <c r="B19" s="7" t="s">
        <v>14</v>
      </c>
      <c r="C19" s="7" t="s">
        <v>15</v>
      </c>
      <c r="D19" s="7" t="s">
        <v>42</v>
      </c>
      <c r="E19" s="7" t="s">
        <v>43</v>
      </c>
      <c r="F19" s="7">
        <v>98103</v>
      </c>
      <c r="G19" s="7" t="s">
        <v>25</v>
      </c>
      <c r="H19" s="7" t="s">
        <v>26</v>
      </c>
      <c r="I19" s="7" t="s">
        <v>37</v>
      </c>
      <c r="J19" s="8">
        <v>407.976</v>
      </c>
      <c r="K19" s="7">
        <v>3</v>
      </c>
      <c r="L19" s="7">
        <v>0.2</v>
      </c>
      <c r="M19" s="7">
        <v>132.59219999999999</v>
      </c>
    </row>
    <row r="20" spans="1:13" x14ac:dyDescent="0.3">
      <c r="A20" s="7" t="s">
        <v>28</v>
      </c>
      <c r="B20" s="7" t="s">
        <v>44</v>
      </c>
      <c r="C20" s="7" t="s">
        <v>15</v>
      </c>
      <c r="D20" s="7" t="s">
        <v>45</v>
      </c>
      <c r="E20" s="7" t="s">
        <v>46</v>
      </c>
      <c r="F20" s="7">
        <v>76106</v>
      </c>
      <c r="G20" s="7" t="s">
        <v>47</v>
      </c>
      <c r="H20" s="7" t="s">
        <v>26</v>
      </c>
      <c r="I20" s="7" t="s">
        <v>38</v>
      </c>
      <c r="J20" s="8">
        <v>68.81</v>
      </c>
      <c r="K20" s="7">
        <v>5</v>
      </c>
      <c r="L20" s="7">
        <v>0.8</v>
      </c>
      <c r="M20" s="7">
        <v>-123.858</v>
      </c>
    </row>
    <row r="21" spans="1:13" x14ac:dyDescent="0.3">
      <c r="A21" s="7" t="s">
        <v>28</v>
      </c>
      <c r="B21" s="7" t="s">
        <v>44</v>
      </c>
      <c r="C21" s="7" t="s">
        <v>15</v>
      </c>
      <c r="D21" s="7" t="s">
        <v>45</v>
      </c>
      <c r="E21" s="7" t="s">
        <v>46</v>
      </c>
      <c r="F21" s="7">
        <v>76106</v>
      </c>
      <c r="G21" s="7" t="s">
        <v>47</v>
      </c>
      <c r="H21" s="7" t="s">
        <v>26</v>
      </c>
      <c r="I21" s="7" t="s">
        <v>37</v>
      </c>
      <c r="J21" s="8">
        <v>2.544</v>
      </c>
      <c r="K21" s="7">
        <v>3</v>
      </c>
      <c r="L21" s="7">
        <v>0.8</v>
      </c>
      <c r="M21" s="7">
        <v>-3.8159999999999998</v>
      </c>
    </row>
    <row r="22" spans="1:13" x14ac:dyDescent="0.3">
      <c r="A22" s="7" t="s">
        <v>28</v>
      </c>
      <c r="B22" s="7" t="s">
        <v>14</v>
      </c>
      <c r="C22" s="7" t="s">
        <v>15</v>
      </c>
      <c r="D22" s="7" t="s">
        <v>48</v>
      </c>
      <c r="E22" s="7" t="s">
        <v>49</v>
      </c>
      <c r="F22" s="7">
        <v>53711</v>
      </c>
      <c r="G22" s="7" t="s">
        <v>47</v>
      </c>
      <c r="H22" s="7" t="s">
        <v>26</v>
      </c>
      <c r="I22" s="7" t="s">
        <v>32</v>
      </c>
      <c r="J22" s="8">
        <v>665.88</v>
      </c>
      <c r="K22" s="7">
        <v>6</v>
      </c>
      <c r="L22" s="7">
        <v>0</v>
      </c>
      <c r="M22" s="7">
        <v>13.317600000000001</v>
      </c>
    </row>
    <row r="23" spans="1:13" x14ac:dyDescent="0.3">
      <c r="A23" s="7" t="s">
        <v>13</v>
      </c>
      <c r="B23" s="7" t="s">
        <v>14</v>
      </c>
      <c r="C23" s="7" t="s">
        <v>15</v>
      </c>
      <c r="D23" s="7" t="s">
        <v>51</v>
      </c>
      <c r="E23" s="7" t="s">
        <v>24</v>
      </c>
      <c r="F23" s="7">
        <v>94109</v>
      </c>
      <c r="G23" s="7" t="s">
        <v>25</v>
      </c>
      <c r="H23" s="7" t="s">
        <v>26</v>
      </c>
      <c r="I23" s="7" t="s">
        <v>34</v>
      </c>
      <c r="J23" s="8">
        <v>8.56</v>
      </c>
      <c r="K23" s="7">
        <v>2</v>
      </c>
      <c r="L23" s="7">
        <v>0</v>
      </c>
      <c r="M23" s="7">
        <v>2.4824000000000002</v>
      </c>
    </row>
    <row r="24" spans="1:13" x14ac:dyDescent="0.3">
      <c r="A24" s="7" t="s">
        <v>13</v>
      </c>
      <c r="B24" s="7" t="s">
        <v>14</v>
      </c>
      <c r="C24" s="7" t="s">
        <v>15</v>
      </c>
      <c r="D24" s="7" t="s">
        <v>51</v>
      </c>
      <c r="E24" s="7" t="s">
        <v>24</v>
      </c>
      <c r="F24" s="7">
        <v>94109</v>
      </c>
      <c r="G24" s="7" t="s">
        <v>25</v>
      </c>
      <c r="H24" s="7" t="s">
        <v>35</v>
      </c>
      <c r="I24" s="7" t="s">
        <v>36</v>
      </c>
      <c r="J24" s="8">
        <v>213.48</v>
      </c>
      <c r="K24" s="7">
        <v>3</v>
      </c>
      <c r="L24" s="7">
        <v>0.2</v>
      </c>
      <c r="M24" s="7">
        <v>16.010999999999999</v>
      </c>
    </row>
    <row r="25" spans="1:13" x14ac:dyDescent="0.3">
      <c r="A25" s="7" t="s">
        <v>13</v>
      </c>
      <c r="B25" s="7" t="s">
        <v>14</v>
      </c>
      <c r="C25" s="7" t="s">
        <v>15</v>
      </c>
      <c r="D25" s="7" t="s">
        <v>51</v>
      </c>
      <c r="E25" s="7" t="s">
        <v>24</v>
      </c>
      <c r="F25" s="7">
        <v>94109</v>
      </c>
      <c r="G25" s="7" t="s">
        <v>25</v>
      </c>
      <c r="H25" s="7" t="s">
        <v>26</v>
      </c>
      <c r="I25" s="7" t="s">
        <v>37</v>
      </c>
      <c r="J25" s="8">
        <v>22.72</v>
      </c>
      <c r="K25" s="7">
        <v>4</v>
      </c>
      <c r="L25" s="7">
        <v>0.2</v>
      </c>
      <c r="M25" s="7">
        <v>7.3840000000000003</v>
      </c>
    </row>
    <row r="26" spans="1:13" x14ac:dyDescent="0.3">
      <c r="A26" s="7" t="s">
        <v>28</v>
      </c>
      <c r="B26" s="7" t="s">
        <v>22</v>
      </c>
      <c r="C26" s="7" t="s">
        <v>15</v>
      </c>
      <c r="D26" s="7" t="s">
        <v>52</v>
      </c>
      <c r="E26" s="7" t="s">
        <v>53</v>
      </c>
      <c r="F26" s="7">
        <v>68025</v>
      </c>
      <c r="G26" s="7" t="s">
        <v>47</v>
      </c>
      <c r="H26" s="7" t="s">
        <v>26</v>
      </c>
      <c r="I26" s="7" t="s">
        <v>34</v>
      </c>
      <c r="J26" s="8">
        <v>19.46</v>
      </c>
      <c r="K26" s="7">
        <v>7</v>
      </c>
      <c r="L26" s="7">
        <v>0</v>
      </c>
      <c r="M26" s="7">
        <v>5.0595999999999997</v>
      </c>
    </row>
    <row r="27" spans="1:13" x14ac:dyDescent="0.3">
      <c r="A27" s="7" t="s">
        <v>28</v>
      </c>
      <c r="B27" s="7" t="s">
        <v>22</v>
      </c>
      <c r="C27" s="7" t="s">
        <v>15</v>
      </c>
      <c r="D27" s="7" t="s">
        <v>52</v>
      </c>
      <c r="E27" s="7" t="s">
        <v>53</v>
      </c>
      <c r="F27" s="7">
        <v>68025</v>
      </c>
      <c r="G27" s="7" t="s">
        <v>47</v>
      </c>
      <c r="H27" s="7" t="s">
        <v>26</v>
      </c>
      <c r="I27" s="7" t="s">
        <v>38</v>
      </c>
      <c r="J27" s="8">
        <v>60.34</v>
      </c>
      <c r="K27" s="7">
        <v>7</v>
      </c>
      <c r="L27" s="7">
        <v>0</v>
      </c>
      <c r="M27" s="7">
        <v>15.6884</v>
      </c>
    </row>
    <row r="28" spans="1:13" x14ac:dyDescent="0.3">
      <c r="A28" s="7" t="s">
        <v>13</v>
      </c>
      <c r="B28" s="7" t="s">
        <v>14</v>
      </c>
      <c r="C28" s="7" t="s">
        <v>15</v>
      </c>
      <c r="D28" s="7" t="s">
        <v>54</v>
      </c>
      <c r="E28" s="7" t="s">
        <v>55</v>
      </c>
      <c r="F28" s="7">
        <v>19140</v>
      </c>
      <c r="G28" s="7" t="s">
        <v>56</v>
      </c>
      <c r="H28" s="7" t="s">
        <v>19</v>
      </c>
      <c r="I28" s="7" t="s">
        <v>21</v>
      </c>
      <c r="J28" s="8">
        <v>71.372</v>
      </c>
      <c r="K28" s="7">
        <v>2</v>
      </c>
      <c r="L28" s="7">
        <v>0.3</v>
      </c>
      <c r="M28" s="7">
        <v>-1.0196000000000001</v>
      </c>
    </row>
    <row r="29" spans="1:13" x14ac:dyDescent="0.3">
      <c r="A29" s="7" t="s">
        <v>28</v>
      </c>
      <c r="B29" s="7" t="s">
        <v>14</v>
      </c>
      <c r="C29" s="7" t="s">
        <v>15</v>
      </c>
      <c r="D29" s="7" t="s">
        <v>57</v>
      </c>
      <c r="E29" s="7" t="s">
        <v>50</v>
      </c>
      <c r="F29" s="7">
        <v>84057</v>
      </c>
      <c r="G29" s="7" t="s">
        <v>25</v>
      </c>
      <c r="H29" s="7" t="s">
        <v>19</v>
      </c>
      <c r="I29" s="7" t="s">
        <v>31</v>
      </c>
      <c r="J29" s="8">
        <v>1044.6300000000001</v>
      </c>
      <c r="K29" s="7">
        <v>3</v>
      </c>
      <c r="L29" s="7">
        <v>0</v>
      </c>
      <c r="M29" s="7">
        <v>240.26490000000001</v>
      </c>
    </row>
    <row r="30" spans="1:13" x14ac:dyDescent="0.3">
      <c r="A30" s="7" t="s">
        <v>13</v>
      </c>
      <c r="B30" s="7" t="s">
        <v>14</v>
      </c>
      <c r="C30" s="7" t="s">
        <v>15</v>
      </c>
      <c r="D30" s="7" t="s">
        <v>23</v>
      </c>
      <c r="E30" s="7" t="s">
        <v>24</v>
      </c>
      <c r="F30" s="7">
        <v>90049</v>
      </c>
      <c r="G30" s="7" t="s">
        <v>25</v>
      </c>
      <c r="H30" s="7" t="s">
        <v>26</v>
      </c>
      <c r="I30" s="7" t="s">
        <v>37</v>
      </c>
      <c r="J30" s="8">
        <v>11.648</v>
      </c>
      <c r="K30" s="7">
        <v>2</v>
      </c>
      <c r="L30" s="7">
        <v>0.2</v>
      </c>
      <c r="M30" s="7">
        <v>4.2224000000000004</v>
      </c>
    </row>
    <row r="31" spans="1:13" x14ac:dyDescent="0.3">
      <c r="A31" s="7" t="s">
        <v>13</v>
      </c>
      <c r="B31" s="7" t="s">
        <v>14</v>
      </c>
      <c r="C31" s="7" t="s">
        <v>15</v>
      </c>
      <c r="D31" s="7" t="s">
        <v>23</v>
      </c>
      <c r="E31" s="7" t="s">
        <v>24</v>
      </c>
      <c r="F31" s="7">
        <v>90049</v>
      </c>
      <c r="G31" s="7" t="s">
        <v>25</v>
      </c>
      <c r="H31" s="7" t="s">
        <v>35</v>
      </c>
      <c r="I31" s="7" t="s">
        <v>58</v>
      </c>
      <c r="J31" s="8">
        <v>90.57</v>
      </c>
      <c r="K31" s="7">
        <v>3</v>
      </c>
      <c r="L31" s="7">
        <v>0</v>
      </c>
      <c r="M31" s="7">
        <v>11.774100000000001</v>
      </c>
    </row>
    <row r="32" spans="1:13" x14ac:dyDescent="0.3">
      <c r="A32" s="7" t="s">
        <v>28</v>
      </c>
      <c r="B32" s="7" t="s">
        <v>14</v>
      </c>
      <c r="C32" s="7" t="s">
        <v>15</v>
      </c>
      <c r="D32" s="7" t="s">
        <v>54</v>
      </c>
      <c r="E32" s="7" t="s">
        <v>55</v>
      </c>
      <c r="F32" s="7">
        <v>19140</v>
      </c>
      <c r="G32" s="7" t="s">
        <v>56</v>
      </c>
      <c r="H32" s="7" t="s">
        <v>19</v>
      </c>
      <c r="I32" s="7" t="s">
        <v>20</v>
      </c>
      <c r="J32" s="8">
        <v>3083.43</v>
      </c>
      <c r="K32" s="7">
        <v>7</v>
      </c>
      <c r="L32" s="7">
        <v>0.5</v>
      </c>
      <c r="M32" s="7">
        <v>-1665.0522000000001</v>
      </c>
    </row>
    <row r="33" spans="1:13" x14ac:dyDescent="0.3">
      <c r="A33" s="7" t="s">
        <v>28</v>
      </c>
      <c r="B33" s="7" t="s">
        <v>14</v>
      </c>
      <c r="C33" s="7" t="s">
        <v>15</v>
      </c>
      <c r="D33" s="7" t="s">
        <v>54</v>
      </c>
      <c r="E33" s="7" t="s">
        <v>55</v>
      </c>
      <c r="F33" s="7">
        <v>19140</v>
      </c>
      <c r="G33" s="7" t="s">
        <v>56</v>
      </c>
      <c r="H33" s="7" t="s">
        <v>26</v>
      </c>
      <c r="I33" s="7" t="s">
        <v>37</v>
      </c>
      <c r="J33" s="8">
        <v>9.6180000000000003</v>
      </c>
      <c r="K33" s="7">
        <v>2</v>
      </c>
      <c r="L33" s="7">
        <v>0.7</v>
      </c>
      <c r="M33" s="7">
        <v>-7.0532000000000004</v>
      </c>
    </row>
    <row r="34" spans="1:13" x14ac:dyDescent="0.3">
      <c r="A34" s="7" t="s">
        <v>28</v>
      </c>
      <c r="B34" s="7" t="s">
        <v>14</v>
      </c>
      <c r="C34" s="7" t="s">
        <v>15</v>
      </c>
      <c r="D34" s="7" t="s">
        <v>54</v>
      </c>
      <c r="E34" s="7" t="s">
        <v>55</v>
      </c>
      <c r="F34" s="7">
        <v>19140</v>
      </c>
      <c r="G34" s="7" t="s">
        <v>56</v>
      </c>
      <c r="H34" s="7" t="s">
        <v>19</v>
      </c>
      <c r="I34" s="7" t="s">
        <v>33</v>
      </c>
      <c r="J34" s="8">
        <v>124.2</v>
      </c>
      <c r="K34" s="7">
        <v>3</v>
      </c>
      <c r="L34" s="7">
        <v>0.2</v>
      </c>
      <c r="M34" s="7">
        <v>15.525</v>
      </c>
    </row>
    <row r="35" spans="1:13" x14ac:dyDescent="0.3">
      <c r="A35" s="7" t="s">
        <v>28</v>
      </c>
      <c r="B35" s="7" t="s">
        <v>14</v>
      </c>
      <c r="C35" s="7" t="s">
        <v>15</v>
      </c>
      <c r="D35" s="7" t="s">
        <v>54</v>
      </c>
      <c r="E35" s="7" t="s">
        <v>55</v>
      </c>
      <c r="F35" s="7">
        <v>19140</v>
      </c>
      <c r="G35" s="7" t="s">
        <v>56</v>
      </c>
      <c r="H35" s="7" t="s">
        <v>26</v>
      </c>
      <c r="I35" s="7" t="s">
        <v>59</v>
      </c>
      <c r="J35" s="8">
        <v>3.2639999999999998</v>
      </c>
      <c r="K35" s="7">
        <v>2</v>
      </c>
      <c r="L35" s="7">
        <v>0.2</v>
      </c>
      <c r="M35" s="7">
        <v>1.1015999999999999</v>
      </c>
    </row>
    <row r="36" spans="1:13" x14ac:dyDescent="0.3">
      <c r="A36" s="7" t="s">
        <v>28</v>
      </c>
      <c r="B36" s="7" t="s">
        <v>14</v>
      </c>
      <c r="C36" s="7" t="s">
        <v>15</v>
      </c>
      <c r="D36" s="7" t="s">
        <v>54</v>
      </c>
      <c r="E36" s="7" t="s">
        <v>55</v>
      </c>
      <c r="F36" s="7">
        <v>19140</v>
      </c>
      <c r="G36" s="7" t="s">
        <v>56</v>
      </c>
      <c r="H36" s="7" t="s">
        <v>26</v>
      </c>
      <c r="I36" s="7" t="s">
        <v>34</v>
      </c>
      <c r="J36" s="8">
        <v>86.304000000000002</v>
      </c>
      <c r="K36" s="7">
        <v>6</v>
      </c>
      <c r="L36" s="7">
        <v>0.2</v>
      </c>
      <c r="M36" s="7">
        <v>9.7091999999999992</v>
      </c>
    </row>
    <row r="37" spans="1:13" x14ac:dyDescent="0.3">
      <c r="A37" s="7" t="s">
        <v>28</v>
      </c>
      <c r="B37" s="7" t="s">
        <v>14</v>
      </c>
      <c r="C37" s="7" t="s">
        <v>15</v>
      </c>
      <c r="D37" s="7" t="s">
        <v>54</v>
      </c>
      <c r="E37" s="7" t="s">
        <v>55</v>
      </c>
      <c r="F37" s="7">
        <v>19140</v>
      </c>
      <c r="G37" s="7" t="s">
        <v>56</v>
      </c>
      <c r="H37" s="7" t="s">
        <v>26</v>
      </c>
      <c r="I37" s="7" t="s">
        <v>37</v>
      </c>
      <c r="J37" s="8">
        <v>6.8579999999999997</v>
      </c>
      <c r="K37" s="7">
        <v>6</v>
      </c>
      <c r="L37" s="7">
        <v>0.7</v>
      </c>
      <c r="M37" s="7">
        <v>-5.7149999999999999</v>
      </c>
    </row>
    <row r="38" spans="1:13" x14ac:dyDescent="0.3">
      <c r="A38" s="7" t="s">
        <v>28</v>
      </c>
      <c r="B38" s="7" t="s">
        <v>14</v>
      </c>
      <c r="C38" s="7" t="s">
        <v>15</v>
      </c>
      <c r="D38" s="7" t="s">
        <v>54</v>
      </c>
      <c r="E38" s="7" t="s">
        <v>55</v>
      </c>
      <c r="F38" s="7">
        <v>19140</v>
      </c>
      <c r="G38" s="7" t="s">
        <v>56</v>
      </c>
      <c r="H38" s="7" t="s">
        <v>26</v>
      </c>
      <c r="I38" s="7" t="s">
        <v>34</v>
      </c>
      <c r="J38" s="8">
        <v>15.76</v>
      </c>
      <c r="K38" s="7">
        <v>2</v>
      </c>
      <c r="L38" s="7">
        <v>0.2</v>
      </c>
      <c r="M38" s="7">
        <v>3.5459999999999998</v>
      </c>
    </row>
    <row r="39" spans="1:13" x14ac:dyDescent="0.3">
      <c r="A39" s="7" t="s">
        <v>13</v>
      </c>
      <c r="B39" s="7" t="s">
        <v>44</v>
      </c>
      <c r="C39" s="7" t="s">
        <v>15</v>
      </c>
      <c r="D39" s="7" t="s">
        <v>60</v>
      </c>
      <c r="E39" s="7" t="s">
        <v>46</v>
      </c>
      <c r="F39" s="7">
        <v>77095</v>
      </c>
      <c r="G39" s="7" t="s">
        <v>47</v>
      </c>
      <c r="H39" s="7" t="s">
        <v>26</v>
      </c>
      <c r="I39" s="7" t="s">
        <v>41</v>
      </c>
      <c r="J39" s="8">
        <v>29.472000000000001</v>
      </c>
      <c r="K39" s="7">
        <v>3</v>
      </c>
      <c r="L39" s="7">
        <v>0.2</v>
      </c>
      <c r="M39" s="7">
        <v>9.9467999999999996</v>
      </c>
    </row>
    <row r="40" spans="1:13" x14ac:dyDescent="0.3">
      <c r="A40" s="7" t="s">
        <v>61</v>
      </c>
      <c r="B40" s="7" t="s">
        <v>22</v>
      </c>
      <c r="C40" s="7" t="s">
        <v>15</v>
      </c>
      <c r="D40" s="7" t="s">
        <v>62</v>
      </c>
      <c r="E40" s="7" t="s">
        <v>46</v>
      </c>
      <c r="F40" s="7">
        <v>75080</v>
      </c>
      <c r="G40" s="7" t="s">
        <v>47</v>
      </c>
      <c r="H40" s="7" t="s">
        <v>35</v>
      </c>
      <c r="I40" s="7" t="s">
        <v>36</v>
      </c>
      <c r="J40" s="8">
        <v>1097.5440000000001</v>
      </c>
      <c r="K40" s="7">
        <v>7</v>
      </c>
      <c r="L40" s="7">
        <v>0.2</v>
      </c>
      <c r="M40" s="7">
        <v>123.47369999999999</v>
      </c>
    </row>
    <row r="41" spans="1:13" x14ac:dyDescent="0.3">
      <c r="A41" s="7" t="s">
        <v>61</v>
      </c>
      <c r="B41" s="7" t="s">
        <v>22</v>
      </c>
      <c r="C41" s="7" t="s">
        <v>15</v>
      </c>
      <c r="D41" s="7" t="s">
        <v>62</v>
      </c>
      <c r="E41" s="7" t="s">
        <v>46</v>
      </c>
      <c r="F41" s="7">
        <v>75080</v>
      </c>
      <c r="G41" s="7" t="s">
        <v>47</v>
      </c>
      <c r="H41" s="7" t="s">
        <v>19</v>
      </c>
      <c r="I41" s="7" t="s">
        <v>33</v>
      </c>
      <c r="J41" s="8">
        <v>190.92</v>
      </c>
      <c r="K41" s="7">
        <v>5</v>
      </c>
      <c r="L41" s="7">
        <v>0.6</v>
      </c>
      <c r="M41" s="7">
        <v>-147.96299999999999</v>
      </c>
    </row>
    <row r="42" spans="1:13" x14ac:dyDescent="0.3">
      <c r="A42" s="7" t="s">
        <v>28</v>
      </c>
      <c r="B42" s="7" t="s">
        <v>44</v>
      </c>
      <c r="C42" s="7" t="s">
        <v>15</v>
      </c>
      <c r="D42" s="7" t="s">
        <v>60</v>
      </c>
      <c r="E42" s="7" t="s">
        <v>46</v>
      </c>
      <c r="F42" s="7">
        <v>77041</v>
      </c>
      <c r="G42" s="7" t="s">
        <v>47</v>
      </c>
      <c r="H42" s="7" t="s">
        <v>26</v>
      </c>
      <c r="I42" s="7" t="s">
        <v>59</v>
      </c>
      <c r="J42" s="8">
        <v>113.328</v>
      </c>
      <c r="K42" s="7">
        <v>9</v>
      </c>
      <c r="L42" s="7">
        <v>0.2</v>
      </c>
      <c r="M42" s="7">
        <v>35.414999999999999</v>
      </c>
    </row>
    <row r="43" spans="1:13" x14ac:dyDescent="0.3">
      <c r="A43" s="7" t="s">
        <v>28</v>
      </c>
      <c r="B43" s="7" t="s">
        <v>44</v>
      </c>
      <c r="C43" s="7" t="s">
        <v>15</v>
      </c>
      <c r="D43" s="7" t="s">
        <v>60</v>
      </c>
      <c r="E43" s="7" t="s">
        <v>46</v>
      </c>
      <c r="F43" s="7">
        <v>77041</v>
      </c>
      <c r="G43" s="7" t="s">
        <v>47</v>
      </c>
      <c r="H43" s="7" t="s">
        <v>19</v>
      </c>
      <c r="I43" s="7" t="s">
        <v>20</v>
      </c>
      <c r="J43" s="8">
        <v>532.39919999999995</v>
      </c>
      <c r="K43" s="7">
        <v>3</v>
      </c>
      <c r="L43" s="7">
        <v>0.32</v>
      </c>
      <c r="M43" s="7">
        <v>-46.976399999999998</v>
      </c>
    </row>
    <row r="44" spans="1:13" x14ac:dyDescent="0.3">
      <c r="A44" s="7" t="s">
        <v>28</v>
      </c>
      <c r="B44" s="7" t="s">
        <v>44</v>
      </c>
      <c r="C44" s="7" t="s">
        <v>15</v>
      </c>
      <c r="D44" s="7" t="s">
        <v>60</v>
      </c>
      <c r="E44" s="7" t="s">
        <v>46</v>
      </c>
      <c r="F44" s="7">
        <v>77041</v>
      </c>
      <c r="G44" s="7" t="s">
        <v>47</v>
      </c>
      <c r="H44" s="7" t="s">
        <v>19</v>
      </c>
      <c r="I44" s="7" t="s">
        <v>21</v>
      </c>
      <c r="J44" s="8">
        <v>212.05799999999999</v>
      </c>
      <c r="K44" s="7">
        <v>3</v>
      </c>
      <c r="L44" s="7">
        <v>0.3</v>
      </c>
      <c r="M44" s="7">
        <v>-15.147</v>
      </c>
    </row>
    <row r="45" spans="1:13" x14ac:dyDescent="0.3">
      <c r="A45" s="7" t="s">
        <v>28</v>
      </c>
      <c r="B45" s="7" t="s">
        <v>44</v>
      </c>
      <c r="C45" s="7" t="s">
        <v>15</v>
      </c>
      <c r="D45" s="7" t="s">
        <v>60</v>
      </c>
      <c r="E45" s="7" t="s">
        <v>46</v>
      </c>
      <c r="F45" s="7">
        <v>77041</v>
      </c>
      <c r="G45" s="7" t="s">
        <v>47</v>
      </c>
      <c r="H45" s="7" t="s">
        <v>35</v>
      </c>
      <c r="I45" s="7" t="s">
        <v>36</v>
      </c>
      <c r="J45" s="8">
        <v>371.16800000000001</v>
      </c>
      <c r="K45" s="7">
        <v>4</v>
      </c>
      <c r="L45" s="7">
        <v>0.2</v>
      </c>
      <c r="M45" s="7">
        <v>41.756399999999999</v>
      </c>
    </row>
    <row r="46" spans="1:13" x14ac:dyDescent="0.3">
      <c r="A46" s="7" t="s">
        <v>28</v>
      </c>
      <c r="B46" s="7" t="s">
        <v>22</v>
      </c>
      <c r="C46" s="7" t="s">
        <v>15</v>
      </c>
      <c r="D46" s="7" t="s">
        <v>63</v>
      </c>
      <c r="E46" s="7" t="s">
        <v>64</v>
      </c>
      <c r="F46" s="7">
        <v>60540</v>
      </c>
      <c r="G46" s="7" t="s">
        <v>47</v>
      </c>
      <c r="H46" s="7" t="s">
        <v>35</v>
      </c>
      <c r="I46" s="7" t="s">
        <v>36</v>
      </c>
      <c r="J46" s="8">
        <v>147.16800000000001</v>
      </c>
      <c r="K46" s="7">
        <v>4</v>
      </c>
      <c r="L46" s="7">
        <v>0.2</v>
      </c>
      <c r="M46" s="7">
        <v>16.5564</v>
      </c>
    </row>
    <row r="47" spans="1:13" x14ac:dyDescent="0.3">
      <c r="A47" s="7" t="s">
        <v>28</v>
      </c>
      <c r="B47" s="7" t="s">
        <v>22</v>
      </c>
      <c r="C47" s="7" t="s">
        <v>15</v>
      </c>
      <c r="D47" s="7" t="s">
        <v>23</v>
      </c>
      <c r="E47" s="7" t="s">
        <v>24</v>
      </c>
      <c r="F47" s="7">
        <v>90049</v>
      </c>
      <c r="G47" s="7" t="s">
        <v>25</v>
      </c>
      <c r="H47" s="7" t="s">
        <v>26</v>
      </c>
      <c r="I47" s="7" t="s">
        <v>32</v>
      </c>
      <c r="J47" s="8">
        <v>77.88</v>
      </c>
      <c r="K47" s="7">
        <v>2</v>
      </c>
      <c r="L47" s="7">
        <v>0</v>
      </c>
      <c r="M47" s="7">
        <v>3.8940000000000001</v>
      </c>
    </row>
    <row r="48" spans="1:13" x14ac:dyDescent="0.3">
      <c r="A48" s="7" t="s">
        <v>28</v>
      </c>
      <c r="B48" s="7" t="s">
        <v>22</v>
      </c>
      <c r="C48" s="7" t="s">
        <v>15</v>
      </c>
      <c r="D48" s="7" t="s">
        <v>65</v>
      </c>
      <c r="E48" s="7" t="s">
        <v>30</v>
      </c>
      <c r="F48" s="7">
        <v>32935</v>
      </c>
      <c r="G48" s="7" t="s">
        <v>18</v>
      </c>
      <c r="H48" s="7" t="s">
        <v>26</v>
      </c>
      <c r="I48" s="7" t="s">
        <v>32</v>
      </c>
      <c r="J48" s="8">
        <v>95.616</v>
      </c>
      <c r="K48" s="7">
        <v>2</v>
      </c>
      <c r="L48" s="7">
        <v>0.2</v>
      </c>
      <c r="M48" s="7">
        <v>9.5616000000000003</v>
      </c>
    </row>
    <row r="49" spans="1:13" x14ac:dyDescent="0.3">
      <c r="A49" s="7" t="s">
        <v>61</v>
      </c>
      <c r="B49" s="7" t="s">
        <v>22</v>
      </c>
      <c r="C49" s="7" t="s">
        <v>15</v>
      </c>
      <c r="D49" s="7" t="s">
        <v>66</v>
      </c>
      <c r="E49" s="7" t="s">
        <v>67</v>
      </c>
      <c r="F49" s="7">
        <v>55122</v>
      </c>
      <c r="G49" s="7" t="s">
        <v>47</v>
      </c>
      <c r="H49" s="7" t="s">
        <v>35</v>
      </c>
      <c r="I49" s="7" t="s">
        <v>58</v>
      </c>
      <c r="J49" s="8">
        <v>45.98</v>
      </c>
      <c r="K49" s="7">
        <v>2</v>
      </c>
      <c r="L49" s="7">
        <v>0</v>
      </c>
      <c r="M49" s="7">
        <v>19.7714</v>
      </c>
    </row>
    <row r="50" spans="1:13" x14ac:dyDescent="0.3">
      <c r="A50" s="7" t="s">
        <v>61</v>
      </c>
      <c r="B50" s="7" t="s">
        <v>22</v>
      </c>
      <c r="C50" s="7" t="s">
        <v>15</v>
      </c>
      <c r="D50" s="7" t="s">
        <v>66</v>
      </c>
      <c r="E50" s="7" t="s">
        <v>67</v>
      </c>
      <c r="F50" s="7">
        <v>55122</v>
      </c>
      <c r="G50" s="7" t="s">
        <v>47</v>
      </c>
      <c r="H50" s="7" t="s">
        <v>26</v>
      </c>
      <c r="I50" s="7" t="s">
        <v>37</v>
      </c>
      <c r="J50" s="8">
        <v>17.46</v>
      </c>
      <c r="K50" s="7">
        <v>2</v>
      </c>
      <c r="L50" s="7">
        <v>0</v>
      </c>
      <c r="M50" s="7">
        <v>8.2062000000000008</v>
      </c>
    </row>
    <row r="51" spans="1:13" x14ac:dyDescent="0.3">
      <c r="A51" s="7" t="s">
        <v>13</v>
      </c>
      <c r="B51" s="7" t="s">
        <v>14</v>
      </c>
      <c r="C51" s="7" t="s">
        <v>15</v>
      </c>
      <c r="D51" s="7" t="s">
        <v>68</v>
      </c>
      <c r="E51" s="7" t="s">
        <v>69</v>
      </c>
      <c r="F51" s="7">
        <v>48185</v>
      </c>
      <c r="G51" s="7" t="s">
        <v>47</v>
      </c>
      <c r="H51" s="7" t="s">
        <v>26</v>
      </c>
      <c r="I51" s="7" t="s">
        <v>32</v>
      </c>
      <c r="J51" s="8">
        <v>211.96</v>
      </c>
      <c r="K51" s="7">
        <v>4</v>
      </c>
      <c r="L51" s="7">
        <v>0</v>
      </c>
      <c r="M51" s="7">
        <v>8.4784000000000006</v>
      </c>
    </row>
    <row r="52" spans="1:13" x14ac:dyDescent="0.3">
      <c r="A52" s="7" t="s">
        <v>28</v>
      </c>
      <c r="B52" s="7" t="s">
        <v>14</v>
      </c>
      <c r="C52" s="7" t="s">
        <v>15</v>
      </c>
      <c r="D52" s="7" t="s">
        <v>70</v>
      </c>
      <c r="E52" s="7" t="s">
        <v>71</v>
      </c>
      <c r="F52" s="7">
        <v>19901</v>
      </c>
      <c r="G52" s="7" t="s">
        <v>56</v>
      </c>
      <c r="H52" s="7" t="s">
        <v>35</v>
      </c>
      <c r="I52" s="7" t="s">
        <v>58</v>
      </c>
      <c r="J52" s="8">
        <v>45</v>
      </c>
      <c r="K52" s="7">
        <v>3</v>
      </c>
      <c r="L52" s="7">
        <v>0</v>
      </c>
      <c r="M52" s="7">
        <v>4.95</v>
      </c>
    </row>
    <row r="53" spans="1:13" x14ac:dyDescent="0.3">
      <c r="A53" s="7" t="s">
        <v>28</v>
      </c>
      <c r="B53" s="7" t="s">
        <v>14</v>
      </c>
      <c r="C53" s="7" t="s">
        <v>15</v>
      </c>
      <c r="D53" s="7" t="s">
        <v>70</v>
      </c>
      <c r="E53" s="7" t="s">
        <v>71</v>
      </c>
      <c r="F53" s="7">
        <v>19901</v>
      </c>
      <c r="G53" s="7" t="s">
        <v>56</v>
      </c>
      <c r="H53" s="7" t="s">
        <v>35</v>
      </c>
      <c r="I53" s="7" t="s">
        <v>36</v>
      </c>
      <c r="J53" s="8">
        <v>21.8</v>
      </c>
      <c r="K53" s="7">
        <v>2</v>
      </c>
      <c r="L53" s="7">
        <v>0</v>
      </c>
      <c r="M53" s="7">
        <v>6.1040000000000001</v>
      </c>
    </row>
    <row r="54" spans="1:13" x14ac:dyDescent="0.3">
      <c r="A54" s="7" t="s">
        <v>28</v>
      </c>
      <c r="B54" s="7" t="s">
        <v>14</v>
      </c>
      <c r="C54" s="7" t="s">
        <v>15</v>
      </c>
      <c r="D54" s="7" t="s">
        <v>72</v>
      </c>
      <c r="E54" s="7" t="s">
        <v>73</v>
      </c>
      <c r="F54" s="7">
        <v>47150</v>
      </c>
      <c r="G54" s="7" t="s">
        <v>47</v>
      </c>
      <c r="H54" s="7" t="s">
        <v>26</v>
      </c>
      <c r="I54" s="7" t="s">
        <v>37</v>
      </c>
      <c r="J54" s="8">
        <v>38.22</v>
      </c>
      <c r="K54" s="7">
        <v>6</v>
      </c>
      <c r="L54" s="7">
        <v>0</v>
      </c>
      <c r="M54" s="7">
        <v>17.9634</v>
      </c>
    </row>
    <row r="55" spans="1:13" x14ac:dyDescent="0.3">
      <c r="A55" s="7" t="s">
        <v>28</v>
      </c>
      <c r="B55" s="7" t="s">
        <v>14</v>
      </c>
      <c r="C55" s="7" t="s">
        <v>15</v>
      </c>
      <c r="D55" s="7" t="s">
        <v>72</v>
      </c>
      <c r="E55" s="7" t="s">
        <v>73</v>
      </c>
      <c r="F55" s="7">
        <v>47150</v>
      </c>
      <c r="G55" s="7" t="s">
        <v>47</v>
      </c>
      <c r="H55" s="7" t="s">
        <v>26</v>
      </c>
      <c r="I55" s="7" t="s">
        <v>27</v>
      </c>
      <c r="J55" s="8">
        <v>75.180000000000007</v>
      </c>
      <c r="K55" s="7">
        <v>6</v>
      </c>
      <c r="L55" s="7">
        <v>0</v>
      </c>
      <c r="M55" s="7">
        <v>35.334600000000002</v>
      </c>
    </row>
    <row r="56" spans="1:13" x14ac:dyDescent="0.3">
      <c r="A56" s="7" t="s">
        <v>28</v>
      </c>
      <c r="B56" s="7" t="s">
        <v>14</v>
      </c>
      <c r="C56" s="7" t="s">
        <v>15</v>
      </c>
      <c r="D56" s="7" t="s">
        <v>72</v>
      </c>
      <c r="E56" s="7" t="s">
        <v>73</v>
      </c>
      <c r="F56" s="7">
        <v>47150</v>
      </c>
      <c r="G56" s="7" t="s">
        <v>47</v>
      </c>
      <c r="H56" s="7" t="s">
        <v>19</v>
      </c>
      <c r="I56" s="7" t="s">
        <v>33</v>
      </c>
      <c r="J56" s="8">
        <v>6.16</v>
      </c>
      <c r="K56" s="7">
        <v>2</v>
      </c>
      <c r="L56" s="7">
        <v>0</v>
      </c>
      <c r="M56" s="7">
        <v>2.9567999999999999</v>
      </c>
    </row>
    <row r="57" spans="1:13" x14ac:dyDescent="0.3">
      <c r="A57" s="7" t="s">
        <v>28</v>
      </c>
      <c r="B57" s="7" t="s">
        <v>14</v>
      </c>
      <c r="C57" s="7" t="s">
        <v>15</v>
      </c>
      <c r="D57" s="7" t="s">
        <v>72</v>
      </c>
      <c r="E57" s="7" t="s">
        <v>73</v>
      </c>
      <c r="F57" s="7">
        <v>47150</v>
      </c>
      <c r="G57" s="7" t="s">
        <v>47</v>
      </c>
      <c r="H57" s="7" t="s">
        <v>19</v>
      </c>
      <c r="I57" s="7" t="s">
        <v>21</v>
      </c>
      <c r="J57" s="8">
        <v>89.99</v>
      </c>
      <c r="K57" s="7">
        <v>1</v>
      </c>
      <c r="L57" s="7">
        <v>0</v>
      </c>
      <c r="M57" s="7">
        <v>17.098099999999999</v>
      </c>
    </row>
    <row r="58" spans="1:13" x14ac:dyDescent="0.3">
      <c r="A58" s="7" t="s">
        <v>28</v>
      </c>
      <c r="B58" s="7" t="s">
        <v>22</v>
      </c>
      <c r="C58" s="7" t="s">
        <v>15</v>
      </c>
      <c r="D58" s="7" t="s">
        <v>74</v>
      </c>
      <c r="E58" s="7" t="s">
        <v>75</v>
      </c>
      <c r="F58" s="7">
        <v>10024</v>
      </c>
      <c r="G58" s="7" t="s">
        <v>56</v>
      </c>
      <c r="H58" s="7" t="s">
        <v>26</v>
      </c>
      <c r="I58" s="7" t="s">
        <v>76</v>
      </c>
      <c r="J58" s="8">
        <v>15.26</v>
      </c>
      <c r="K58" s="7">
        <v>7</v>
      </c>
      <c r="L58" s="7">
        <v>0</v>
      </c>
      <c r="M58" s="7">
        <v>6.2565999999999997</v>
      </c>
    </row>
    <row r="59" spans="1:13" x14ac:dyDescent="0.3">
      <c r="A59" s="7" t="s">
        <v>28</v>
      </c>
      <c r="B59" s="7" t="s">
        <v>22</v>
      </c>
      <c r="C59" s="7" t="s">
        <v>15</v>
      </c>
      <c r="D59" s="7" t="s">
        <v>74</v>
      </c>
      <c r="E59" s="7" t="s">
        <v>75</v>
      </c>
      <c r="F59" s="7">
        <v>10024</v>
      </c>
      <c r="G59" s="7" t="s">
        <v>56</v>
      </c>
      <c r="H59" s="7" t="s">
        <v>35</v>
      </c>
      <c r="I59" s="7" t="s">
        <v>36</v>
      </c>
      <c r="J59" s="8">
        <v>1029.95</v>
      </c>
      <c r="K59" s="7">
        <v>5</v>
      </c>
      <c r="L59" s="7">
        <v>0</v>
      </c>
      <c r="M59" s="7">
        <v>298.68549999999999</v>
      </c>
    </row>
    <row r="60" spans="1:13" x14ac:dyDescent="0.3">
      <c r="A60" s="7" t="s">
        <v>61</v>
      </c>
      <c r="B60" s="7" t="s">
        <v>14</v>
      </c>
      <c r="C60" s="7" t="s">
        <v>15</v>
      </c>
      <c r="D60" s="7" t="s">
        <v>77</v>
      </c>
      <c r="E60" s="7" t="s">
        <v>75</v>
      </c>
      <c r="F60" s="7">
        <v>12180</v>
      </c>
      <c r="G60" s="7" t="s">
        <v>56</v>
      </c>
      <c r="H60" s="7" t="s">
        <v>26</v>
      </c>
      <c r="I60" s="7" t="s">
        <v>32</v>
      </c>
      <c r="J60" s="8">
        <v>208.56</v>
      </c>
      <c r="K60" s="7">
        <v>6</v>
      </c>
      <c r="L60" s="7">
        <v>0</v>
      </c>
      <c r="M60" s="7">
        <v>52.14</v>
      </c>
    </row>
    <row r="61" spans="1:13" x14ac:dyDescent="0.3">
      <c r="A61" s="7" t="s">
        <v>61</v>
      </c>
      <c r="B61" s="7" t="s">
        <v>14</v>
      </c>
      <c r="C61" s="7" t="s">
        <v>15</v>
      </c>
      <c r="D61" s="7" t="s">
        <v>77</v>
      </c>
      <c r="E61" s="7" t="s">
        <v>75</v>
      </c>
      <c r="F61" s="7">
        <v>12180</v>
      </c>
      <c r="G61" s="7" t="s">
        <v>56</v>
      </c>
      <c r="H61" s="7" t="s">
        <v>26</v>
      </c>
      <c r="I61" s="7" t="s">
        <v>41</v>
      </c>
      <c r="J61" s="8">
        <v>32.4</v>
      </c>
      <c r="K61" s="7">
        <v>5</v>
      </c>
      <c r="L61" s="7">
        <v>0</v>
      </c>
      <c r="M61" s="7">
        <v>15.552</v>
      </c>
    </row>
    <row r="62" spans="1:13" x14ac:dyDescent="0.3">
      <c r="A62" s="7" t="s">
        <v>61</v>
      </c>
      <c r="B62" s="7" t="s">
        <v>14</v>
      </c>
      <c r="C62" s="7" t="s">
        <v>15</v>
      </c>
      <c r="D62" s="7" t="s">
        <v>77</v>
      </c>
      <c r="E62" s="7" t="s">
        <v>75</v>
      </c>
      <c r="F62" s="7">
        <v>12180</v>
      </c>
      <c r="G62" s="7" t="s">
        <v>56</v>
      </c>
      <c r="H62" s="7" t="s">
        <v>19</v>
      </c>
      <c r="I62" s="7" t="s">
        <v>21</v>
      </c>
      <c r="J62" s="8">
        <v>319.41000000000003</v>
      </c>
      <c r="K62" s="7">
        <v>5</v>
      </c>
      <c r="L62" s="7">
        <v>0.1</v>
      </c>
      <c r="M62" s="7">
        <v>7.0979999999999999</v>
      </c>
    </row>
    <row r="63" spans="1:13" x14ac:dyDescent="0.3">
      <c r="A63" s="7" t="s">
        <v>61</v>
      </c>
      <c r="B63" s="7" t="s">
        <v>14</v>
      </c>
      <c r="C63" s="7" t="s">
        <v>15</v>
      </c>
      <c r="D63" s="7" t="s">
        <v>77</v>
      </c>
      <c r="E63" s="7" t="s">
        <v>75</v>
      </c>
      <c r="F63" s="7">
        <v>12180</v>
      </c>
      <c r="G63" s="7" t="s">
        <v>56</v>
      </c>
      <c r="H63" s="7" t="s">
        <v>26</v>
      </c>
      <c r="I63" s="7" t="s">
        <v>41</v>
      </c>
      <c r="J63" s="8">
        <v>14.56</v>
      </c>
      <c r="K63" s="7">
        <v>2</v>
      </c>
      <c r="L63" s="7">
        <v>0</v>
      </c>
      <c r="M63" s="7">
        <v>6.9888000000000003</v>
      </c>
    </row>
    <row r="64" spans="1:13" x14ac:dyDescent="0.3">
      <c r="A64" s="7" t="s">
        <v>61</v>
      </c>
      <c r="B64" s="7" t="s">
        <v>14</v>
      </c>
      <c r="C64" s="7" t="s">
        <v>15</v>
      </c>
      <c r="D64" s="7" t="s">
        <v>77</v>
      </c>
      <c r="E64" s="7" t="s">
        <v>75</v>
      </c>
      <c r="F64" s="7">
        <v>12180</v>
      </c>
      <c r="G64" s="7" t="s">
        <v>56</v>
      </c>
      <c r="H64" s="7" t="s">
        <v>35</v>
      </c>
      <c r="I64" s="7" t="s">
        <v>58</v>
      </c>
      <c r="J64" s="8">
        <v>30</v>
      </c>
      <c r="K64" s="7">
        <v>2</v>
      </c>
      <c r="L64" s="7">
        <v>0</v>
      </c>
      <c r="M64" s="7">
        <v>3.3</v>
      </c>
    </row>
    <row r="65" spans="1:13" x14ac:dyDescent="0.3">
      <c r="A65" s="7" t="s">
        <v>61</v>
      </c>
      <c r="B65" s="7" t="s">
        <v>14</v>
      </c>
      <c r="C65" s="7" t="s">
        <v>15</v>
      </c>
      <c r="D65" s="7" t="s">
        <v>77</v>
      </c>
      <c r="E65" s="7" t="s">
        <v>75</v>
      </c>
      <c r="F65" s="7">
        <v>12180</v>
      </c>
      <c r="G65" s="7" t="s">
        <v>56</v>
      </c>
      <c r="H65" s="7" t="s">
        <v>26</v>
      </c>
      <c r="I65" s="7" t="s">
        <v>37</v>
      </c>
      <c r="J65" s="8">
        <v>48.48</v>
      </c>
      <c r="K65" s="7">
        <v>4</v>
      </c>
      <c r="L65" s="7">
        <v>0.2</v>
      </c>
      <c r="M65" s="7">
        <v>16.361999999999998</v>
      </c>
    </row>
    <row r="66" spans="1:13" x14ac:dyDescent="0.3">
      <c r="A66" s="7" t="s">
        <v>61</v>
      </c>
      <c r="B66" s="7" t="s">
        <v>14</v>
      </c>
      <c r="C66" s="7" t="s">
        <v>15</v>
      </c>
      <c r="D66" s="7" t="s">
        <v>77</v>
      </c>
      <c r="E66" s="7" t="s">
        <v>75</v>
      </c>
      <c r="F66" s="7">
        <v>12180</v>
      </c>
      <c r="G66" s="7" t="s">
        <v>56</v>
      </c>
      <c r="H66" s="7" t="s">
        <v>26</v>
      </c>
      <c r="I66" s="7" t="s">
        <v>34</v>
      </c>
      <c r="J66" s="8">
        <v>1.68</v>
      </c>
      <c r="K66" s="7">
        <v>1</v>
      </c>
      <c r="L66" s="7">
        <v>0</v>
      </c>
      <c r="M66" s="7">
        <v>0.84</v>
      </c>
    </row>
    <row r="67" spans="1:13" x14ac:dyDescent="0.3">
      <c r="A67" s="7" t="s">
        <v>28</v>
      </c>
      <c r="B67" s="7" t="s">
        <v>14</v>
      </c>
      <c r="C67" s="7" t="s">
        <v>15</v>
      </c>
      <c r="D67" s="7" t="s">
        <v>23</v>
      </c>
      <c r="E67" s="7" t="s">
        <v>24</v>
      </c>
      <c r="F67" s="7">
        <v>90004</v>
      </c>
      <c r="G67" s="7" t="s">
        <v>25</v>
      </c>
      <c r="H67" s="7" t="s">
        <v>35</v>
      </c>
      <c r="I67" s="7" t="s">
        <v>58</v>
      </c>
      <c r="J67" s="8">
        <v>13.98</v>
      </c>
      <c r="K67" s="7">
        <v>2</v>
      </c>
      <c r="L67" s="7">
        <v>0</v>
      </c>
      <c r="M67" s="7">
        <v>6.1512000000000002</v>
      </c>
    </row>
    <row r="68" spans="1:13" x14ac:dyDescent="0.3">
      <c r="A68" s="7" t="s">
        <v>28</v>
      </c>
      <c r="B68" s="7" t="s">
        <v>14</v>
      </c>
      <c r="C68" s="7" t="s">
        <v>15</v>
      </c>
      <c r="D68" s="7" t="s">
        <v>23</v>
      </c>
      <c r="E68" s="7" t="s">
        <v>24</v>
      </c>
      <c r="F68" s="7">
        <v>90004</v>
      </c>
      <c r="G68" s="7" t="s">
        <v>25</v>
      </c>
      <c r="H68" s="7" t="s">
        <v>26</v>
      </c>
      <c r="I68" s="7" t="s">
        <v>37</v>
      </c>
      <c r="J68" s="8">
        <v>25.824000000000002</v>
      </c>
      <c r="K68" s="7">
        <v>6</v>
      </c>
      <c r="L68" s="7">
        <v>0.2</v>
      </c>
      <c r="M68" s="7">
        <v>9.3612000000000002</v>
      </c>
    </row>
    <row r="69" spans="1:13" x14ac:dyDescent="0.3">
      <c r="A69" s="7" t="s">
        <v>28</v>
      </c>
      <c r="B69" s="7" t="s">
        <v>14</v>
      </c>
      <c r="C69" s="7" t="s">
        <v>15</v>
      </c>
      <c r="D69" s="7" t="s">
        <v>23</v>
      </c>
      <c r="E69" s="7" t="s">
        <v>24</v>
      </c>
      <c r="F69" s="7">
        <v>90004</v>
      </c>
      <c r="G69" s="7" t="s">
        <v>25</v>
      </c>
      <c r="H69" s="7" t="s">
        <v>26</v>
      </c>
      <c r="I69" s="7" t="s">
        <v>41</v>
      </c>
      <c r="J69" s="8">
        <v>146.72999999999999</v>
      </c>
      <c r="K69" s="7">
        <v>3</v>
      </c>
      <c r="L69" s="7">
        <v>0</v>
      </c>
      <c r="M69" s="7">
        <v>68.963099999999997</v>
      </c>
    </row>
    <row r="70" spans="1:13" x14ac:dyDescent="0.3">
      <c r="A70" s="7" t="s">
        <v>28</v>
      </c>
      <c r="B70" s="7" t="s">
        <v>14</v>
      </c>
      <c r="C70" s="7" t="s">
        <v>15</v>
      </c>
      <c r="D70" s="7" t="s">
        <v>23</v>
      </c>
      <c r="E70" s="7" t="s">
        <v>24</v>
      </c>
      <c r="F70" s="7">
        <v>90004</v>
      </c>
      <c r="G70" s="7" t="s">
        <v>25</v>
      </c>
      <c r="H70" s="7" t="s">
        <v>19</v>
      </c>
      <c r="I70" s="7" t="s">
        <v>33</v>
      </c>
      <c r="J70" s="8">
        <v>79.760000000000005</v>
      </c>
      <c r="K70" s="7">
        <v>4</v>
      </c>
      <c r="L70" s="7">
        <v>0</v>
      </c>
      <c r="M70" s="7">
        <v>22.332799999999999</v>
      </c>
    </row>
    <row r="71" spans="1:13" x14ac:dyDescent="0.3">
      <c r="A71" s="7" t="s">
        <v>28</v>
      </c>
      <c r="B71" s="7" t="s">
        <v>44</v>
      </c>
      <c r="C71" s="7" t="s">
        <v>15</v>
      </c>
      <c r="D71" s="7" t="s">
        <v>78</v>
      </c>
      <c r="E71" s="7" t="s">
        <v>64</v>
      </c>
      <c r="F71" s="7">
        <v>60610</v>
      </c>
      <c r="G71" s="7" t="s">
        <v>47</v>
      </c>
      <c r="H71" s="7" t="s">
        <v>19</v>
      </c>
      <c r="I71" s="7" t="s">
        <v>21</v>
      </c>
      <c r="J71" s="8">
        <v>213.11500000000001</v>
      </c>
      <c r="K71" s="7">
        <v>5</v>
      </c>
      <c r="L71" s="7">
        <v>0.3</v>
      </c>
      <c r="M71" s="7">
        <v>-15.2225</v>
      </c>
    </row>
    <row r="72" spans="1:13" x14ac:dyDescent="0.3">
      <c r="A72" s="7" t="s">
        <v>28</v>
      </c>
      <c r="B72" s="7" t="s">
        <v>22</v>
      </c>
      <c r="C72" s="7" t="s">
        <v>15</v>
      </c>
      <c r="D72" s="7" t="s">
        <v>79</v>
      </c>
      <c r="E72" s="7" t="s">
        <v>80</v>
      </c>
      <c r="F72" s="7">
        <v>85234</v>
      </c>
      <c r="G72" s="7" t="s">
        <v>25</v>
      </c>
      <c r="H72" s="7" t="s">
        <v>26</v>
      </c>
      <c r="I72" s="7" t="s">
        <v>34</v>
      </c>
      <c r="J72" s="8">
        <v>1113.0239999999999</v>
      </c>
      <c r="K72" s="7">
        <v>8</v>
      </c>
      <c r="L72" s="7">
        <v>0.2</v>
      </c>
      <c r="M72" s="7">
        <v>111.30240000000001</v>
      </c>
    </row>
    <row r="73" spans="1:13" x14ac:dyDescent="0.3">
      <c r="A73" s="7" t="s">
        <v>28</v>
      </c>
      <c r="B73" s="7" t="s">
        <v>22</v>
      </c>
      <c r="C73" s="7" t="s">
        <v>15</v>
      </c>
      <c r="D73" s="7" t="s">
        <v>79</v>
      </c>
      <c r="E73" s="7" t="s">
        <v>80</v>
      </c>
      <c r="F73" s="7">
        <v>85234</v>
      </c>
      <c r="G73" s="7" t="s">
        <v>25</v>
      </c>
      <c r="H73" s="7" t="s">
        <v>35</v>
      </c>
      <c r="I73" s="7" t="s">
        <v>36</v>
      </c>
      <c r="J73" s="8">
        <v>167.96799999999999</v>
      </c>
      <c r="K73" s="7">
        <v>4</v>
      </c>
      <c r="L73" s="7">
        <v>0.2</v>
      </c>
      <c r="M73" s="7">
        <v>62.988</v>
      </c>
    </row>
    <row r="74" spans="1:13" x14ac:dyDescent="0.3">
      <c r="A74" s="7" t="s">
        <v>61</v>
      </c>
      <c r="B74" s="7" t="s">
        <v>14</v>
      </c>
      <c r="C74" s="7" t="s">
        <v>15</v>
      </c>
      <c r="D74" s="7" t="s">
        <v>81</v>
      </c>
      <c r="E74" s="7" t="s">
        <v>82</v>
      </c>
      <c r="F74" s="7">
        <v>22153</v>
      </c>
      <c r="G74" s="7" t="s">
        <v>18</v>
      </c>
      <c r="H74" s="7" t="s">
        <v>26</v>
      </c>
      <c r="I74" s="7" t="s">
        <v>41</v>
      </c>
      <c r="J74" s="8">
        <v>75.88</v>
      </c>
      <c r="K74" s="7">
        <v>2</v>
      </c>
      <c r="L74" s="7">
        <v>0</v>
      </c>
      <c r="M74" s="7">
        <v>35.663600000000002</v>
      </c>
    </row>
    <row r="75" spans="1:13" x14ac:dyDescent="0.3">
      <c r="A75" s="7" t="s">
        <v>28</v>
      </c>
      <c r="B75" s="7" t="s">
        <v>14</v>
      </c>
      <c r="C75" s="7" t="s">
        <v>15</v>
      </c>
      <c r="D75" s="7" t="s">
        <v>74</v>
      </c>
      <c r="E75" s="7" t="s">
        <v>75</v>
      </c>
      <c r="F75" s="7">
        <v>10009</v>
      </c>
      <c r="G75" s="7" t="s">
        <v>56</v>
      </c>
      <c r="H75" s="7" t="s">
        <v>26</v>
      </c>
      <c r="I75" s="7" t="s">
        <v>37</v>
      </c>
      <c r="J75" s="8">
        <v>4.6159999999999997</v>
      </c>
      <c r="K75" s="7">
        <v>1</v>
      </c>
      <c r="L75" s="7">
        <v>0.2</v>
      </c>
      <c r="M75" s="7">
        <v>1.7310000000000001</v>
      </c>
    </row>
    <row r="76" spans="1:13" x14ac:dyDescent="0.3">
      <c r="A76" s="7" t="s">
        <v>13</v>
      </c>
      <c r="B76" s="7" t="s">
        <v>14</v>
      </c>
      <c r="C76" s="7" t="s">
        <v>15</v>
      </c>
      <c r="D76" s="7" t="s">
        <v>83</v>
      </c>
      <c r="E76" s="7" t="s">
        <v>69</v>
      </c>
      <c r="F76" s="7">
        <v>49201</v>
      </c>
      <c r="G76" s="7" t="s">
        <v>47</v>
      </c>
      <c r="H76" s="7" t="s">
        <v>26</v>
      </c>
      <c r="I76" s="7" t="s">
        <v>41</v>
      </c>
      <c r="J76" s="8">
        <v>19.05</v>
      </c>
      <c r="K76" s="7">
        <v>3</v>
      </c>
      <c r="L76" s="7">
        <v>0</v>
      </c>
      <c r="M76" s="7">
        <v>8.7629999999999999</v>
      </c>
    </row>
    <row r="77" spans="1:13" x14ac:dyDescent="0.3">
      <c r="A77" s="7" t="s">
        <v>28</v>
      </c>
      <c r="B77" s="7" t="s">
        <v>14</v>
      </c>
      <c r="C77" s="7" t="s">
        <v>15</v>
      </c>
      <c r="D77" s="7" t="s">
        <v>84</v>
      </c>
      <c r="E77" s="7" t="s">
        <v>85</v>
      </c>
      <c r="F77" s="7">
        <v>38109</v>
      </c>
      <c r="G77" s="7" t="s">
        <v>18</v>
      </c>
      <c r="H77" s="7" t="s">
        <v>19</v>
      </c>
      <c r="I77" s="7" t="s">
        <v>21</v>
      </c>
      <c r="J77" s="8">
        <v>831.93600000000004</v>
      </c>
      <c r="K77" s="7">
        <v>8</v>
      </c>
      <c r="L77" s="7">
        <v>0.2</v>
      </c>
      <c r="M77" s="7">
        <v>-114.3912</v>
      </c>
    </row>
    <row r="78" spans="1:13" x14ac:dyDescent="0.3">
      <c r="A78" s="7" t="s">
        <v>28</v>
      </c>
      <c r="B78" s="7" t="s">
        <v>14</v>
      </c>
      <c r="C78" s="7" t="s">
        <v>15</v>
      </c>
      <c r="D78" s="7" t="s">
        <v>84</v>
      </c>
      <c r="E78" s="7" t="s">
        <v>85</v>
      </c>
      <c r="F78" s="7">
        <v>38109</v>
      </c>
      <c r="G78" s="7" t="s">
        <v>18</v>
      </c>
      <c r="H78" s="7" t="s">
        <v>19</v>
      </c>
      <c r="I78" s="7" t="s">
        <v>33</v>
      </c>
      <c r="J78" s="8">
        <v>97.04</v>
      </c>
      <c r="K78" s="7">
        <v>2</v>
      </c>
      <c r="L78" s="7">
        <v>0.2</v>
      </c>
      <c r="M78" s="7">
        <v>1.2130000000000001</v>
      </c>
    </row>
    <row r="79" spans="1:13" x14ac:dyDescent="0.3">
      <c r="A79" s="7" t="s">
        <v>28</v>
      </c>
      <c r="B79" s="7" t="s">
        <v>14</v>
      </c>
      <c r="C79" s="7" t="s">
        <v>15</v>
      </c>
      <c r="D79" s="7" t="s">
        <v>84</v>
      </c>
      <c r="E79" s="7" t="s">
        <v>85</v>
      </c>
      <c r="F79" s="7">
        <v>38109</v>
      </c>
      <c r="G79" s="7" t="s">
        <v>18</v>
      </c>
      <c r="H79" s="7" t="s">
        <v>26</v>
      </c>
      <c r="I79" s="7" t="s">
        <v>32</v>
      </c>
      <c r="J79" s="8">
        <v>72.784000000000006</v>
      </c>
      <c r="K79" s="7">
        <v>1</v>
      </c>
      <c r="L79" s="7">
        <v>0.2</v>
      </c>
      <c r="M79" s="7">
        <v>-18.196000000000002</v>
      </c>
    </row>
    <row r="80" spans="1:13" x14ac:dyDescent="0.3">
      <c r="A80" s="7" t="s">
        <v>61</v>
      </c>
      <c r="B80" s="7" t="s">
        <v>22</v>
      </c>
      <c r="C80" s="7" t="s">
        <v>15</v>
      </c>
      <c r="D80" s="7" t="s">
        <v>60</v>
      </c>
      <c r="E80" s="7" t="s">
        <v>46</v>
      </c>
      <c r="F80" s="7">
        <v>77041</v>
      </c>
      <c r="G80" s="7" t="s">
        <v>47</v>
      </c>
      <c r="H80" s="7" t="s">
        <v>26</v>
      </c>
      <c r="I80" s="7" t="s">
        <v>37</v>
      </c>
      <c r="J80" s="8">
        <v>1.248</v>
      </c>
      <c r="K80" s="7">
        <v>3</v>
      </c>
      <c r="L80" s="7">
        <v>0.8</v>
      </c>
      <c r="M80" s="7">
        <v>-1.9343999999999999</v>
      </c>
    </row>
    <row r="81" spans="1:13" x14ac:dyDescent="0.3">
      <c r="A81" s="7" t="s">
        <v>61</v>
      </c>
      <c r="B81" s="7" t="s">
        <v>22</v>
      </c>
      <c r="C81" s="7" t="s">
        <v>15</v>
      </c>
      <c r="D81" s="7" t="s">
        <v>60</v>
      </c>
      <c r="E81" s="7" t="s">
        <v>46</v>
      </c>
      <c r="F81" s="7">
        <v>77041</v>
      </c>
      <c r="G81" s="7" t="s">
        <v>47</v>
      </c>
      <c r="H81" s="7" t="s">
        <v>19</v>
      </c>
      <c r="I81" s="7" t="s">
        <v>33</v>
      </c>
      <c r="J81" s="8">
        <v>9.7080000000000002</v>
      </c>
      <c r="K81" s="7">
        <v>3</v>
      </c>
      <c r="L81" s="7">
        <v>0.6</v>
      </c>
      <c r="M81" s="7">
        <v>-5.8247999999999998</v>
      </c>
    </row>
    <row r="82" spans="1:13" x14ac:dyDescent="0.3">
      <c r="A82" s="7" t="s">
        <v>61</v>
      </c>
      <c r="B82" s="7" t="s">
        <v>22</v>
      </c>
      <c r="C82" s="7" t="s">
        <v>15</v>
      </c>
      <c r="D82" s="7" t="s">
        <v>60</v>
      </c>
      <c r="E82" s="7" t="s">
        <v>46</v>
      </c>
      <c r="F82" s="7">
        <v>77041</v>
      </c>
      <c r="G82" s="7" t="s">
        <v>47</v>
      </c>
      <c r="H82" s="7" t="s">
        <v>26</v>
      </c>
      <c r="I82" s="7" t="s">
        <v>32</v>
      </c>
      <c r="J82" s="8">
        <v>27.24</v>
      </c>
      <c r="K82" s="7">
        <v>3</v>
      </c>
      <c r="L82" s="7">
        <v>0.2</v>
      </c>
      <c r="M82" s="7">
        <v>2.7240000000000002</v>
      </c>
    </row>
    <row r="83" spans="1:13" x14ac:dyDescent="0.3">
      <c r="A83" s="7" t="s">
        <v>13</v>
      </c>
      <c r="B83" s="7" t="s">
        <v>14</v>
      </c>
      <c r="C83" s="7" t="s">
        <v>15</v>
      </c>
      <c r="D83" s="7" t="s">
        <v>60</v>
      </c>
      <c r="E83" s="7" t="s">
        <v>46</v>
      </c>
      <c r="F83" s="7">
        <v>77070</v>
      </c>
      <c r="G83" s="7" t="s">
        <v>47</v>
      </c>
      <c r="H83" s="7" t="s">
        <v>19</v>
      </c>
      <c r="I83" s="7" t="s">
        <v>33</v>
      </c>
      <c r="J83" s="8">
        <v>19.3</v>
      </c>
      <c r="K83" s="7">
        <v>5</v>
      </c>
      <c r="L83" s="7">
        <v>0.6</v>
      </c>
      <c r="M83" s="7">
        <v>-14.475</v>
      </c>
    </row>
    <row r="84" spans="1:13" x14ac:dyDescent="0.3">
      <c r="A84" s="7" t="s">
        <v>61</v>
      </c>
      <c r="B84" s="7" t="s">
        <v>22</v>
      </c>
      <c r="C84" s="7" t="s">
        <v>15</v>
      </c>
      <c r="D84" s="7" t="s">
        <v>86</v>
      </c>
      <c r="E84" s="7" t="s">
        <v>87</v>
      </c>
      <c r="F84" s="7">
        <v>35601</v>
      </c>
      <c r="G84" s="7" t="s">
        <v>18</v>
      </c>
      <c r="H84" s="7" t="s">
        <v>26</v>
      </c>
      <c r="I84" s="7" t="s">
        <v>38</v>
      </c>
      <c r="J84" s="8">
        <v>208.16</v>
      </c>
      <c r="K84" s="7">
        <v>1</v>
      </c>
      <c r="L84" s="7">
        <v>0</v>
      </c>
      <c r="M84" s="7">
        <v>56.203200000000002</v>
      </c>
    </row>
    <row r="85" spans="1:13" x14ac:dyDescent="0.3">
      <c r="A85" s="7" t="s">
        <v>61</v>
      </c>
      <c r="B85" s="7" t="s">
        <v>22</v>
      </c>
      <c r="C85" s="7" t="s">
        <v>15</v>
      </c>
      <c r="D85" s="7" t="s">
        <v>86</v>
      </c>
      <c r="E85" s="7" t="s">
        <v>87</v>
      </c>
      <c r="F85" s="7">
        <v>35601</v>
      </c>
      <c r="G85" s="7" t="s">
        <v>18</v>
      </c>
      <c r="H85" s="7" t="s">
        <v>26</v>
      </c>
      <c r="I85" s="7" t="s">
        <v>37</v>
      </c>
      <c r="J85" s="8">
        <v>16.739999999999998</v>
      </c>
      <c r="K85" s="7">
        <v>3</v>
      </c>
      <c r="L85" s="7">
        <v>0</v>
      </c>
      <c r="M85" s="7">
        <v>8.0351999999999997</v>
      </c>
    </row>
    <row r="86" spans="1:13" x14ac:dyDescent="0.3">
      <c r="A86" s="7" t="s">
        <v>28</v>
      </c>
      <c r="B86" s="7" t="s">
        <v>14</v>
      </c>
      <c r="C86" s="7" t="s">
        <v>15</v>
      </c>
      <c r="D86" s="7" t="s">
        <v>51</v>
      </c>
      <c r="E86" s="7" t="s">
        <v>24</v>
      </c>
      <c r="F86" s="7">
        <v>94122</v>
      </c>
      <c r="G86" s="7" t="s">
        <v>25</v>
      </c>
      <c r="H86" s="7" t="s">
        <v>26</v>
      </c>
      <c r="I86" s="7" t="s">
        <v>34</v>
      </c>
      <c r="J86" s="8">
        <v>14.9</v>
      </c>
      <c r="K86" s="7">
        <v>5</v>
      </c>
      <c r="L86" s="7">
        <v>0</v>
      </c>
      <c r="M86" s="7">
        <v>4.1719999999999997</v>
      </c>
    </row>
    <row r="87" spans="1:13" x14ac:dyDescent="0.3">
      <c r="A87" s="7" t="s">
        <v>28</v>
      </c>
      <c r="B87" s="7" t="s">
        <v>14</v>
      </c>
      <c r="C87" s="7" t="s">
        <v>15</v>
      </c>
      <c r="D87" s="7" t="s">
        <v>51</v>
      </c>
      <c r="E87" s="7" t="s">
        <v>24</v>
      </c>
      <c r="F87" s="7">
        <v>94122</v>
      </c>
      <c r="G87" s="7" t="s">
        <v>25</v>
      </c>
      <c r="H87" s="7" t="s">
        <v>26</v>
      </c>
      <c r="I87" s="7" t="s">
        <v>32</v>
      </c>
      <c r="J87" s="8">
        <v>21.39</v>
      </c>
      <c r="K87" s="7">
        <v>1</v>
      </c>
      <c r="L87" s="7">
        <v>0</v>
      </c>
      <c r="M87" s="7">
        <v>6.2031000000000001</v>
      </c>
    </row>
    <row r="88" spans="1:13" x14ac:dyDescent="0.3">
      <c r="A88" s="7" t="s">
        <v>28</v>
      </c>
      <c r="B88" s="7" t="s">
        <v>22</v>
      </c>
      <c r="C88" s="7" t="s">
        <v>15</v>
      </c>
      <c r="D88" s="7" t="s">
        <v>88</v>
      </c>
      <c r="E88" s="7" t="s">
        <v>40</v>
      </c>
      <c r="F88" s="7">
        <v>27707</v>
      </c>
      <c r="G88" s="7" t="s">
        <v>18</v>
      </c>
      <c r="H88" s="7" t="s">
        <v>26</v>
      </c>
      <c r="I88" s="7" t="s">
        <v>59</v>
      </c>
      <c r="J88" s="8">
        <v>200.98400000000001</v>
      </c>
      <c r="K88" s="7">
        <v>7</v>
      </c>
      <c r="L88" s="7">
        <v>0.2</v>
      </c>
      <c r="M88" s="7">
        <v>62.807499999999997</v>
      </c>
    </row>
    <row r="89" spans="1:13" x14ac:dyDescent="0.3">
      <c r="A89" s="7" t="s">
        <v>61</v>
      </c>
      <c r="B89" s="7" t="s">
        <v>44</v>
      </c>
      <c r="C89" s="7" t="s">
        <v>15</v>
      </c>
      <c r="D89" s="7" t="s">
        <v>78</v>
      </c>
      <c r="E89" s="7" t="s">
        <v>64</v>
      </c>
      <c r="F89" s="7">
        <v>60623</v>
      </c>
      <c r="G89" s="7" t="s">
        <v>47</v>
      </c>
      <c r="H89" s="7" t="s">
        <v>26</v>
      </c>
      <c r="I89" s="7" t="s">
        <v>32</v>
      </c>
      <c r="J89" s="8">
        <v>230.376</v>
      </c>
      <c r="K89" s="7">
        <v>3</v>
      </c>
      <c r="L89" s="7">
        <v>0.2</v>
      </c>
      <c r="M89" s="7">
        <v>-48.954900000000002</v>
      </c>
    </row>
    <row r="90" spans="1:13" x14ac:dyDescent="0.3">
      <c r="A90" s="7" t="s">
        <v>13</v>
      </c>
      <c r="B90" s="7" t="s">
        <v>14</v>
      </c>
      <c r="C90" s="7" t="s">
        <v>15</v>
      </c>
      <c r="D90" s="7" t="s">
        <v>89</v>
      </c>
      <c r="E90" s="7" t="s">
        <v>90</v>
      </c>
      <c r="F90" s="7">
        <v>29203</v>
      </c>
      <c r="G90" s="7" t="s">
        <v>18</v>
      </c>
      <c r="H90" s="7" t="s">
        <v>19</v>
      </c>
      <c r="I90" s="7" t="s">
        <v>21</v>
      </c>
      <c r="J90" s="8">
        <v>301.95999999999998</v>
      </c>
      <c r="K90" s="7">
        <v>2</v>
      </c>
      <c r="L90" s="7">
        <v>0</v>
      </c>
      <c r="M90" s="7">
        <v>33.215600000000002</v>
      </c>
    </row>
    <row r="91" spans="1:13" x14ac:dyDescent="0.3">
      <c r="A91" s="7" t="s">
        <v>28</v>
      </c>
      <c r="B91" s="7" t="s">
        <v>14</v>
      </c>
      <c r="C91" s="7" t="s">
        <v>15</v>
      </c>
      <c r="D91" s="7" t="s">
        <v>91</v>
      </c>
      <c r="E91" s="7" t="s">
        <v>67</v>
      </c>
      <c r="F91" s="7">
        <v>55901</v>
      </c>
      <c r="G91" s="7" t="s">
        <v>47</v>
      </c>
      <c r="H91" s="7" t="s">
        <v>35</v>
      </c>
      <c r="I91" s="7" t="s">
        <v>58</v>
      </c>
      <c r="J91" s="8">
        <v>19.989999999999998</v>
      </c>
      <c r="K91" s="7">
        <v>1</v>
      </c>
      <c r="L91" s="7">
        <v>0</v>
      </c>
      <c r="M91" s="7">
        <v>6.7965999999999998</v>
      </c>
    </row>
    <row r="92" spans="1:13" x14ac:dyDescent="0.3">
      <c r="A92" s="7" t="s">
        <v>28</v>
      </c>
      <c r="B92" s="7" t="s">
        <v>14</v>
      </c>
      <c r="C92" s="7" t="s">
        <v>15</v>
      </c>
      <c r="D92" s="7" t="s">
        <v>91</v>
      </c>
      <c r="E92" s="7" t="s">
        <v>67</v>
      </c>
      <c r="F92" s="7">
        <v>55901</v>
      </c>
      <c r="G92" s="7" t="s">
        <v>47</v>
      </c>
      <c r="H92" s="7" t="s">
        <v>26</v>
      </c>
      <c r="I92" s="7" t="s">
        <v>27</v>
      </c>
      <c r="J92" s="8">
        <v>6.16</v>
      </c>
      <c r="K92" s="7">
        <v>2</v>
      </c>
      <c r="L92" s="7">
        <v>0</v>
      </c>
      <c r="M92" s="7">
        <v>2.9567999999999999</v>
      </c>
    </row>
    <row r="93" spans="1:13" x14ac:dyDescent="0.3">
      <c r="A93" s="7" t="s">
        <v>13</v>
      </c>
      <c r="B93" s="7" t="s">
        <v>44</v>
      </c>
      <c r="C93" s="7" t="s">
        <v>15</v>
      </c>
      <c r="D93" s="7" t="s">
        <v>60</v>
      </c>
      <c r="E93" s="7" t="s">
        <v>46</v>
      </c>
      <c r="F93" s="7">
        <v>77095</v>
      </c>
      <c r="G93" s="7" t="s">
        <v>47</v>
      </c>
      <c r="H93" s="7" t="s">
        <v>26</v>
      </c>
      <c r="I93" s="7" t="s">
        <v>32</v>
      </c>
      <c r="J93" s="8">
        <v>158.36799999999999</v>
      </c>
      <c r="K93" s="7">
        <v>7</v>
      </c>
      <c r="L93" s="7">
        <v>0.2</v>
      </c>
      <c r="M93" s="7">
        <v>13.857200000000001</v>
      </c>
    </row>
    <row r="94" spans="1:13" x14ac:dyDescent="0.3">
      <c r="A94" s="7" t="s">
        <v>28</v>
      </c>
      <c r="B94" s="7" t="s">
        <v>22</v>
      </c>
      <c r="C94" s="7" t="s">
        <v>15</v>
      </c>
      <c r="D94" s="7" t="s">
        <v>23</v>
      </c>
      <c r="E94" s="7" t="s">
        <v>24</v>
      </c>
      <c r="F94" s="7">
        <v>90036</v>
      </c>
      <c r="G94" s="7" t="s">
        <v>25</v>
      </c>
      <c r="H94" s="7" t="s">
        <v>26</v>
      </c>
      <c r="I94" s="7" t="s">
        <v>34</v>
      </c>
      <c r="J94" s="8">
        <v>20.100000000000001</v>
      </c>
      <c r="K94" s="7">
        <v>3</v>
      </c>
      <c r="L94" s="7">
        <v>0</v>
      </c>
      <c r="M94" s="7">
        <v>6.633</v>
      </c>
    </row>
    <row r="95" spans="1:13" x14ac:dyDescent="0.3">
      <c r="A95" s="7" t="s">
        <v>28</v>
      </c>
      <c r="B95" s="7" t="s">
        <v>22</v>
      </c>
      <c r="C95" s="7" t="s">
        <v>15</v>
      </c>
      <c r="D95" s="7" t="s">
        <v>23</v>
      </c>
      <c r="E95" s="7" t="s">
        <v>24</v>
      </c>
      <c r="F95" s="7">
        <v>90036</v>
      </c>
      <c r="G95" s="7" t="s">
        <v>25</v>
      </c>
      <c r="H95" s="7" t="s">
        <v>35</v>
      </c>
      <c r="I95" s="7" t="s">
        <v>36</v>
      </c>
      <c r="J95" s="8">
        <v>73.584000000000003</v>
      </c>
      <c r="K95" s="7">
        <v>2</v>
      </c>
      <c r="L95" s="7">
        <v>0.2</v>
      </c>
      <c r="M95" s="7">
        <v>8.2782</v>
      </c>
    </row>
    <row r="96" spans="1:13" x14ac:dyDescent="0.3">
      <c r="A96" s="7" t="s">
        <v>28</v>
      </c>
      <c r="B96" s="7" t="s">
        <v>22</v>
      </c>
      <c r="C96" s="7" t="s">
        <v>15</v>
      </c>
      <c r="D96" s="7" t="s">
        <v>23</v>
      </c>
      <c r="E96" s="7" t="s">
        <v>24</v>
      </c>
      <c r="F96" s="7">
        <v>90036</v>
      </c>
      <c r="G96" s="7" t="s">
        <v>25</v>
      </c>
      <c r="H96" s="7" t="s">
        <v>26</v>
      </c>
      <c r="I96" s="7" t="s">
        <v>41</v>
      </c>
      <c r="J96" s="8">
        <v>6.48</v>
      </c>
      <c r="K96" s="7">
        <v>1</v>
      </c>
      <c r="L96" s="7">
        <v>0</v>
      </c>
      <c r="M96" s="7">
        <v>3.1103999999999998</v>
      </c>
    </row>
    <row r="97" spans="1:13" x14ac:dyDescent="0.3">
      <c r="A97" s="7" t="s">
        <v>13</v>
      </c>
      <c r="B97" s="7" t="s">
        <v>14</v>
      </c>
      <c r="C97" s="7" t="s">
        <v>15</v>
      </c>
      <c r="D97" s="7" t="s">
        <v>92</v>
      </c>
      <c r="E97" s="7" t="s">
        <v>67</v>
      </c>
      <c r="F97" s="7">
        <v>55407</v>
      </c>
      <c r="G97" s="7" t="s">
        <v>47</v>
      </c>
      <c r="H97" s="7" t="s">
        <v>26</v>
      </c>
      <c r="I97" s="7" t="s">
        <v>41</v>
      </c>
      <c r="J97" s="8">
        <v>12.96</v>
      </c>
      <c r="K97" s="7">
        <v>2</v>
      </c>
      <c r="L97" s="7">
        <v>0</v>
      </c>
      <c r="M97" s="7">
        <v>6.2207999999999997</v>
      </c>
    </row>
    <row r="98" spans="1:13" x14ac:dyDescent="0.3">
      <c r="A98" s="7" t="s">
        <v>13</v>
      </c>
      <c r="B98" s="7" t="s">
        <v>14</v>
      </c>
      <c r="C98" s="7" t="s">
        <v>15</v>
      </c>
      <c r="D98" s="7" t="s">
        <v>92</v>
      </c>
      <c r="E98" s="7" t="s">
        <v>67</v>
      </c>
      <c r="F98" s="7">
        <v>55407</v>
      </c>
      <c r="G98" s="7" t="s">
        <v>47</v>
      </c>
      <c r="H98" s="7" t="s">
        <v>19</v>
      </c>
      <c r="I98" s="7" t="s">
        <v>33</v>
      </c>
      <c r="J98" s="8">
        <v>53.34</v>
      </c>
      <c r="K98" s="7">
        <v>3</v>
      </c>
      <c r="L98" s="7">
        <v>0</v>
      </c>
      <c r="M98" s="7">
        <v>16.535399999999999</v>
      </c>
    </row>
    <row r="99" spans="1:13" x14ac:dyDescent="0.3">
      <c r="A99" s="7" t="s">
        <v>13</v>
      </c>
      <c r="B99" s="7" t="s">
        <v>14</v>
      </c>
      <c r="C99" s="7" t="s">
        <v>15</v>
      </c>
      <c r="D99" s="7" t="s">
        <v>92</v>
      </c>
      <c r="E99" s="7" t="s">
        <v>67</v>
      </c>
      <c r="F99" s="7">
        <v>55407</v>
      </c>
      <c r="G99" s="7" t="s">
        <v>47</v>
      </c>
      <c r="H99" s="7" t="s">
        <v>26</v>
      </c>
      <c r="I99" s="7" t="s">
        <v>37</v>
      </c>
      <c r="J99" s="8">
        <v>32.96</v>
      </c>
      <c r="K99" s="7">
        <v>2</v>
      </c>
      <c r="L99" s="7">
        <v>0</v>
      </c>
      <c r="M99" s="7">
        <v>16.150400000000001</v>
      </c>
    </row>
    <row r="100" spans="1:13" x14ac:dyDescent="0.3">
      <c r="A100" s="7" t="s">
        <v>28</v>
      </c>
      <c r="B100" s="7" t="s">
        <v>44</v>
      </c>
      <c r="C100" s="7" t="s">
        <v>15</v>
      </c>
      <c r="D100" s="7" t="s">
        <v>93</v>
      </c>
      <c r="E100" s="7" t="s">
        <v>94</v>
      </c>
      <c r="F100" s="7">
        <v>97206</v>
      </c>
      <c r="G100" s="7" t="s">
        <v>25</v>
      </c>
      <c r="H100" s="7" t="s">
        <v>26</v>
      </c>
      <c r="I100" s="7" t="s">
        <v>37</v>
      </c>
      <c r="J100" s="8">
        <v>5.6820000000000004</v>
      </c>
      <c r="K100" s="7">
        <v>1</v>
      </c>
      <c r="L100" s="7">
        <v>0.7</v>
      </c>
      <c r="M100" s="7">
        <v>-3.7879999999999998</v>
      </c>
    </row>
    <row r="101" spans="1:13" x14ac:dyDescent="0.3">
      <c r="A101" s="7" t="s">
        <v>13</v>
      </c>
      <c r="B101" s="7" t="s">
        <v>44</v>
      </c>
      <c r="C101" s="7" t="s">
        <v>15</v>
      </c>
      <c r="D101" s="7" t="s">
        <v>74</v>
      </c>
      <c r="E101" s="7" t="s">
        <v>75</v>
      </c>
      <c r="F101" s="7">
        <v>10009</v>
      </c>
      <c r="G101" s="7" t="s">
        <v>56</v>
      </c>
      <c r="H101" s="7" t="s">
        <v>19</v>
      </c>
      <c r="I101" s="7" t="s">
        <v>33</v>
      </c>
      <c r="J101" s="8">
        <v>96.53</v>
      </c>
      <c r="K101" s="7">
        <v>7</v>
      </c>
      <c r="L101" s="7">
        <v>0</v>
      </c>
      <c r="M101" s="7">
        <v>40.5426</v>
      </c>
    </row>
    <row r="102" spans="1:13" x14ac:dyDescent="0.3">
      <c r="A102" s="7" t="s">
        <v>61</v>
      </c>
      <c r="B102" s="7" t="s">
        <v>14</v>
      </c>
      <c r="C102" s="7" t="s">
        <v>15</v>
      </c>
      <c r="D102" s="7" t="s">
        <v>51</v>
      </c>
      <c r="E102" s="7" t="s">
        <v>24</v>
      </c>
      <c r="F102" s="7">
        <v>94122</v>
      </c>
      <c r="G102" s="7" t="s">
        <v>25</v>
      </c>
      <c r="H102" s="7" t="s">
        <v>26</v>
      </c>
      <c r="I102" s="7" t="s">
        <v>37</v>
      </c>
      <c r="J102" s="8">
        <v>51.311999999999998</v>
      </c>
      <c r="K102" s="7">
        <v>3</v>
      </c>
      <c r="L102" s="7">
        <v>0.2</v>
      </c>
      <c r="M102" s="7">
        <v>17.959199999999999</v>
      </c>
    </row>
    <row r="103" spans="1:13" x14ac:dyDescent="0.3">
      <c r="A103" s="7" t="s">
        <v>28</v>
      </c>
      <c r="B103" s="7" t="s">
        <v>22</v>
      </c>
      <c r="C103" s="7" t="s">
        <v>15</v>
      </c>
      <c r="D103" s="7" t="s">
        <v>95</v>
      </c>
      <c r="E103" s="7" t="s">
        <v>67</v>
      </c>
      <c r="F103" s="7">
        <v>55106</v>
      </c>
      <c r="G103" s="7" t="s">
        <v>47</v>
      </c>
      <c r="H103" s="7" t="s">
        <v>26</v>
      </c>
      <c r="I103" s="7" t="s">
        <v>38</v>
      </c>
      <c r="J103" s="8">
        <v>77.88</v>
      </c>
      <c r="K103" s="7">
        <v>6</v>
      </c>
      <c r="L103" s="7">
        <v>0</v>
      </c>
      <c r="M103" s="7">
        <v>22.5852</v>
      </c>
    </row>
  </sheetData>
  <mergeCells count="1">
    <mergeCell ref="A1:M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F928-07BC-4FBA-AB57-7CBCD639FC97}">
  <dimension ref="B1:N29"/>
  <sheetViews>
    <sheetView workbookViewId="0">
      <selection activeCell="F11" sqref="F11"/>
    </sheetView>
  </sheetViews>
  <sheetFormatPr defaultRowHeight="14.4" x14ac:dyDescent="0.3"/>
  <cols>
    <col min="1" max="1" width="12.88671875" bestFit="1" customWidth="1"/>
    <col min="2" max="2" width="11.6640625" bestFit="1" customWidth="1"/>
    <col min="4" max="4" width="12.5546875" bestFit="1" customWidth="1"/>
    <col min="5" max="5" width="11.6640625" bestFit="1" customWidth="1"/>
    <col min="6" max="6" width="12.5546875" bestFit="1" customWidth="1"/>
    <col min="7" max="8" width="11.6640625" bestFit="1" customWidth="1"/>
    <col min="9" max="9" width="13.109375" bestFit="1" customWidth="1"/>
    <col min="10" max="10" width="11.6640625" bestFit="1" customWidth="1"/>
    <col min="11" max="11" width="12.109375" bestFit="1" customWidth="1"/>
    <col min="13" max="13" width="16.21875" bestFit="1" customWidth="1"/>
    <col min="14" max="14" width="11.6640625" bestFit="1" customWidth="1"/>
    <col min="15" max="15" width="16.21875" bestFit="1" customWidth="1"/>
  </cols>
  <sheetData>
    <row r="1" spans="2:14" x14ac:dyDescent="0.3">
      <c r="B1" s="15" t="s">
        <v>102</v>
      </c>
      <c r="C1" s="16"/>
      <c r="D1" s="16"/>
      <c r="E1" s="16"/>
      <c r="F1" s="16"/>
    </row>
    <row r="2" spans="2:14" x14ac:dyDescent="0.3">
      <c r="B2" s="3">
        <f>B4</f>
        <v>1681.8500000000001</v>
      </c>
      <c r="D2">
        <f>D4</f>
        <v>5</v>
      </c>
      <c r="F2" s="3">
        <f>F4</f>
        <v>208.35449999999997</v>
      </c>
      <c r="I2" s="1" t="s">
        <v>96</v>
      </c>
      <c r="J2" t="s">
        <v>99</v>
      </c>
      <c r="N2" s="6"/>
    </row>
    <row r="3" spans="2:14" x14ac:dyDescent="0.3">
      <c r="B3" t="s">
        <v>98</v>
      </c>
      <c r="D3" t="s">
        <v>100</v>
      </c>
      <c r="F3" t="s">
        <v>99</v>
      </c>
      <c r="I3" s="2" t="s">
        <v>25</v>
      </c>
      <c r="J3" s="18">
        <v>264.27449999999999</v>
      </c>
    </row>
    <row r="4" spans="2:14" x14ac:dyDescent="0.3">
      <c r="B4" s="3">
        <v>1681.8500000000001</v>
      </c>
      <c r="D4" s="17">
        <v>5</v>
      </c>
      <c r="F4" s="3">
        <v>208.35449999999997</v>
      </c>
      <c r="I4" s="2" t="s">
        <v>56</v>
      </c>
      <c r="J4" s="18">
        <v>313.03949999999998</v>
      </c>
    </row>
    <row r="5" spans="2:14" x14ac:dyDescent="0.3">
      <c r="I5" s="2" t="s">
        <v>47</v>
      </c>
      <c r="J5" s="18">
        <v>208.35449999999997</v>
      </c>
    </row>
    <row r="6" spans="2:14" x14ac:dyDescent="0.3">
      <c r="I6" s="2" t="s">
        <v>97</v>
      </c>
      <c r="J6" s="18">
        <v>785.66849999999999</v>
      </c>
    </row>
    <row r="10" spans="2:14" x14ac:dyDescent="0.3">
      <c r="F10" t="s">
        <v>98</v>
      </c>
    </row>
    <row r="11" spans="2:14" x14ac:dyDescent="0.3">
      <c r="F11" s="18">
        <v>1681.8500000000001</v>
      </c>
    </row>
    <row r="13" spans="2:14" x14ac:dyDescent="0.3">
      <c r="I13" s="1" t="s">
        <v>96</v>
      </c>
      <c r="J13" t="s">
        <v>98</v>
      </c>
    </row>
    <row r="14" spans="2:14" x14ac:dyDescent="0.3">
      <c r="I14" s="2" t="s">
        <v>14</v>
      </c>
      <c r="J14" s="5">
        <v>1.1885721080952523E-2</v>
      </c>
    </row>
    <row r="15" spans="2:14" x14ac:dyDescent="0.3">
      <c r="I15" s="2" t="s">
        <v>22</v>
      </c>
      <c r="J15" s="5">
        <v>0.76742396765466603</v>
      </c>
    </row>
    <row r="16" spans="2:14" x14ac:dyDescent="0.3">
      <c r="I16" s="2" t="s">
        <v>44</v>
      </c>
      <c r="J16" s="5">
        <v>0.22069031126438149</v>
      </c>
    </row>
    <row r="17" spans="6:10" x14ac:dyDescent="0.3">
      <c r="I17" s="2" t="s">
        <v>97</v>
      </c>
      <c r="J17" s="5">
        <v>1</v>
      </c>
    </row>
    <row r="22" spans="6:10" x14ac:dyDescent="0.3">
      <c r="F22" s="1" t="s">
        <v>96</v>
      </c>
      <c r="G22" t="s">
        <v>98</v>
      </c>
    </row>
    <row r="23" spans="6:10" x14ac:dyDescent="0.3">
      <c r="F23" s="2" t="s">
        <v>64</v>
      </c>
      <c r="G23" s="5">
        <v>8.7503641822992542E-2</v>
      </c>
      <c r="I23" s="1" t="s">
        <v>96</v>
      </c>
      <c r="J23" t="s">
        <v>98</v>
      </c>
    </row>
    <row r="24" spans="6:10" x14ac:dyDescent="0.3">
      <c r="F24" s="2" t="s">
        <v>67</v>
      </c>
      <c r="G24" s="5">
        <v>3.922466331718049E-2</v>
      </c>
      <c r="I24" s="2" t="s">
        <v>66</v>
      </c>
      <c r="J24" s="5">
        <v>2.7338942236227959E-2</v>
      </c>
    </row>
    <row r="25" spans="6:10" x14ac:dyDescent="0.3">
      <c r="F25" s="2" t="s">
        <v>46</v>
      </c>
      <c r="G25" s="5">
        <v>0.87327169485982703</v>
      </c>
      <c r="I25" s="2" t="s">
        <v>60</v>
      </c>
      <c r="J25" s="5">
        <v>0.22069031126438146</v>
      </c>
    </row>
    <row r="26" spans="6:10" x14ac:dyDescent="0.3">
      <c r="F26" s="2" t="s">
        <v>97</v>
      </c>
      <c r="G26" s="5">
        <v>1</v>
      </c>
      <c r="I26" s="2" t="s">
        <v>63</v>
      </c>
      <c r="J26" s="5">
        <v>8.7503641822992528E-2</v>
      </c>
    </row>
    <row r="27" spans="6:10" x14ac:dyDescent="0.3">
      <c r="I27" s="2" t="s">
        <v>62</v>
      </c>
      <c r="J27" s="5">
        <v>0.65258138359544549</v>
      </c>
    </row>
    <row r="28" spans="6:10" x14ac:dyDescent="0.3">
      <c r="I28" s="2" t="s">
        <v>91</v>
      </c>
      <c r="J28" s="5">
        <v>1.1885721080952521E-2</v>
      </c>
    </row>
    <row r="29" spans="6:10" x14ac:dyDescent="0.3">
      <c r="I29" s="2" t="s">
        <v>97</v>
      </c>
      <c r="J29" s="5">
        <v>1</v>
      </c>
    </row>
  </sheetData>
  <mergeCells count="1">
    <mergeCell ref="B1:F1"/>
  </mergeCells>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Dataset</vt:lpstr>
      <vt:lpstr>Analysis</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Vidhi Rajput</cp:lastModifiedBy>
  <dcterms:created xsi:type="dcterms:W3CDTF">2026-07-02T07:01:01Z</dcterms:created>
  <dcterms:modified xsi:type="dcterms:W3CDTF">2026-07-30T17:50:25Z</dcterms:modified>
</cp:coreProperties>
</file>