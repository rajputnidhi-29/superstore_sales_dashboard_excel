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B6CEEBE-4322-4A62-AD4E-716DBB9FF380}" xr6:coauthVersionLast="47" xr6:coauthVersionMax="47" xr10:uidLastSave="{00000000-0000-0000-0000-000000000000}"/>
  <bookViews>
    <workbookView xWindow="-108" yWindow="-108" windowWidth="23256" windowHeight="13896" xr2:uid="{9B322C98-85F2-45E0-B046-806189E2A917}"/>
  </bookViews>
  <sheets>
    <sheet name="Dashboard" sheetId="9" r:id="rId1"/>
    <sheet name="Dataset" sheetId="2" r:id="rId2"/>
    <sheet name="statstical analysis" sheetId="16" r:id="rId3"/>
    <sheet name="segment sales" sheetId="14" r:id="rId4"/>
    <sheet name="state sales" sheetId="4" r:id="rId5"/>
    <sheet name="category sales" sheetId="5" r:id="rId6"/>
    <sheet name="region sales" sheetId="6" r:id="rId7"/>
    <sheet name="category quantity" sheetId="8" r:id="rId8"/>
    <sheet name="Top 5 subcategory by sales" sheetId="19" r:id="rId9"/>
    <sheet name="Top 5 city by sales" sheetId="20" r:id="rId10"/>
    <sheet name="profit shipmode" sheetId="12" r:id="rId11"/>
  </sheets>
  <definedNames>
    <definedName name="Slicer_Category">#N/A</definedName>
    <definedName name="Slicer_Region">#N/A</definedName>
    <definedName name="Slicer_State">#N/A</definedName>
    <definedName name="Table">Dataset!$A$5:$M$103</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<sst xmlns="http://schemas.openxmlformats.org/spreadsheetml/2006/main" count="883" uniqueCount="114">
  <si>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</si>
  <si>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</si>
  <si>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</si>
  <si>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</si>
  <si>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</si>
  <si>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</si>
  <si>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</si>
  <si>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</si>
  <si>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</si>
  <si>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</si>
  <si>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</si>
  <si>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</si>
  <si>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</si>
  <si>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</si>
  <si>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</si>
  <si>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</si>
  <si>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</si>
  <si>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</si>
  <si>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</si>
  <si>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</si>
  <si>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</si>
  <si>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</si>
  <si>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</si>
  <si>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</si>
  <si>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</si>
  <si>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</si>
  <si>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</si>
  <si>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</si>
  <si>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</si>
  <si>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</si>
  <si>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</si>
  <si>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</si>
  <si>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</si>
  <si>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</si>
  <si>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</si>
  <si>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</si>
  <si>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</si>
  <si>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</si>
  <si>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</si>
  <si>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</si>
  <si>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</si>
  <si>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</si>
  <si>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</si>
  <si>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</si>
  <si>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</si>
  <si>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</si>
  <si>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</si>
  <si>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</si>
  <si>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</si>
  <si>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</si>
  <si>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</si>
  <si>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</si>
  <si>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</si>
  <si>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</si>
  <si>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</si>
  <si>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</si>
  <si>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</si>
  <si>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</si>
  <si>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</si>
  <si>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</si>
  <si>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</si>
  <si>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</si>
  <si>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</si>
  <si>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</si>
  <si>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</si>
  <si>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</si>
  <si>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</si>
  <si>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</si>
  <si>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</si>
  <si>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</si>
  <si>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</si>
  <si>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</si>
  <si>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</si>
  <si>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</si>
  <si>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</si>
  <si>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</si>
  <si>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</si>
  <si>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</si>
  <si>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</si>
  <si>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</si>
  <si>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</si>
  <si>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</si>
  <si>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</si>
  <si>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</si>
  <si>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</si>
  <si>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</si>
  <si>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</si>
  <si>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</si>
  <si>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</si>
  <si>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</si>
  <si>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</si>
  <si>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</si>
  <si>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</si>
  <si>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</si>
  <si>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</si>
  <si>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</si>
  <si>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Row Labels</t>
  </si>
  <si>
    <t>Grand Total</t>
  </si>
  <si>
    <t>Sum of Sales</t>
  </si>
  <si>
    <t>Sum of Profit</t>
  </si>
  <si>
    <t>Count of Quantity</t>
  </si>
  <si>
    <t>sample superstore sales dashboard</t>
  </si>
  <si>
    <t>Average of Discount</t>
  </si>
  <si>
    <t>Raw Superstore Sales Data Used for Analysis</t>
  </si>
  <si>
    <t>Sales performance across different states</t>
  </si>
  <si>
    <t>Sales performance across different Category</t>
  </si>
  <si>
    <t>Sales performance across different Region</t>
  </si>
  <si>
    <t>Display the total quantity sold for each product category</t>
  </si>
  <si>
    <t>Comparison of profit across different shipping modes</t>
  </si>
  <si>
    <t>Sales perfromance across different customer segments</t>
  </si>
  <si>
    <t>Summary of key business metrices and descriptive statistics</t>
  </si>
  <si>
    <t>Best-performing 5 subcategories based on total sales</t>
  </si>
  <si>
    <t>Best performance across different customer segments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</si>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</sst>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8"/>
      <color theme="1"/>
      <name val="Algerian"/>
      <family val="5"/>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9" fontId="0" fillId="0" borderId="0" xfId="0" applyNumberFormat="1"/>
    <xf numFmtId="0" fontId="14" fillId="34" borderId="0" xfId="0" applyFont="1" applyFill="1"/>
    <xf numFmtId="0" fontId="0" fillId="0" borderId="0" xfId="0" applyAlignment="1">
      <alignment horizontal="center"/>
    </xf>
    <xf numFmtId="44" fontId="0" fillId="0" borderId="0" xfId="0" applyNumberFormat="1"/>
    <xf numFmtId="0" fontId="16" fillId="0" borderId="0" xfId="0" applyFont="1"/>
    <xf numFmtId="0" fontId="20" fillId="0" borderId="0" xfId="0" applyFont="1" applyAlignment="1">
      <alignment horizontal="center" vertical="center"/>
    </xf>
    <xf numFmtId="0" fontId="19" fillId="33" borderId="0" xfId="0" applyFont="1" applyFill="1" applyAlignment="1">
      <alignment horizontal="center" vertical="center"/>
    </xf>
    <xf numFmtId="0" fontId="14" fillId="33" borderId="0" xfId="0" applyFont="1" applyFill="1" applyAlignment="1">
      <alignment horizontal="center" vertical="center"/>
    </xf>
    <xf numFmtId="0" fontId="18" fillId="35" borderId="0" xfId="0" applyFont="1" applyFill="1" applyAlignment="1">
      <alignment horizontal="center"/>
    </xf>
    <xf numFmtId="0" fontId="0" fillId="35" borderId="0" xfId="0" applyFill="1" applyAlignment="1">
      <alignment horizontal="center"/>
    </xf>
    <xf numFmtId="0" fontId="18" fillId="36" borderId="0" xfId="0" applyFont="1" applyFill="1" applyAlignment="1">
      <alignment horizontal="center" vertical="center"/>
    </xf>
    <xf numFmtId="0" fontId="20" fillId="36"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13" formatCode="0%"/>
    </dxf>
    <dxf>
      <numFmt numFmtId="164" formatCode="&quot;$&quot;#,##0.00"/>
    </dxf>
  </dxfs>
  <tableStyles count="0" defaultTableStyle="TableStyleMedium2" defaultPivotStyle="PivotStyleLight16"/>
  <colors>
    <mruColors>
      <color rgb="FFFF6600"/>
      <color rgb="FFFF0066"/>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[SampleSuperstore(AutoRecovered)2.xlsx]category sales!PivotTable2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SALES</a:t>
            </a:r>
          </a:p>
        </c:rich>
      </c:tx>
      <c:layout>
        <c:manualLayout>
          <c:xMode val="edge"/>
          <c:yMode val="edge"/>
          <c:x val="0.33509712495615462"/>
          <c:y val="6.90607188745758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pivotFmt>
      <c:pivotFmt>
        <c:idx val="4"/>
      </c:pivotFmt>
      <c:pivotFmt>
        <c:idx val="5"/>
      </c:pivotFmt>
      <c:pivotFmt>
        <c:idx val="6"/>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pivotFmt>
    </c:pivotFmts>
    <c:plotArea>
      <c:layout/>
      <c:doughnutChart>
        <c:varyColors val="1"/>
        <c:ser>
          <c:idx val="0"/>
          <c:order val="0"/>
          <c:tx>
            <c:strRef>
              <c:f>'category sales'!$C$5</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B1-4C60-AB2D-2DD1BAA4EA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B1-4C60-AB2D-2DD1BAA4EA02}"/>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B1-4C60-AB2D-2DD1BAA4EA02}"/>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sales'!$B$6:$B$9</c:f>
              <c:strCache>
                <c:ptCount val="3"/>
                <c:pt idx="0">
                  <c:v>Furniture</c:v>
                </c:pt>
                <c:pt idx="1">
                  <c:v>Office Supplies</c:v>
                </c:pt>
                <c:pt idx="2">
                  <c:v>Technology</c:v>
                </c:pt>
              </c:strCache>
            </c:strRef>
          </c:cat>
          <c:val>
            <c:numRef>
              <c:f>'category sales'!$C$6:$C$9</c:f>
              <c:numCache>
                <c:formatCode>_("$"* #,##0.00_);_("$"* \(#,##0.00\);_("$"* "-"??_);_(@_)</c:formatCode>
                <c:ptCount val="3"/>
                <c:pt idx="0">
                  <c:v>11083.779699999999</c:v>
                </c:pt>
                <c:pt idx="1">
                  <c:v>5169.37</c:v>
                </c:pt>
                <c:pt idx="2">
                  <c:v>5186.7579999999998</c:v>
                </c:pt>
              </c:numCache>
            </c:numRef>
          </c:val>
          <c:extLst>
            <c:ext xmlns:c16="http://schemas.microsoft.com/office/drawing/2014/chart" uri="{C3380CC4-5D6E-409C-BE32-E72D297353CC}">
              <c16:uniqueId val="{00000006-CFB1-4C60-AB2D-2DD1BAA4EA0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9082655381461822"/>
          <c:y val="0.40872338874307373"/>
          <c:w val="0.23897265501386794"/>
          <c:h val="0.3245092410323709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[SampleSuperstore(AutoRecovered)2.xlsx]state sales!PivotTable1</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STATE SALES</a:t>
            </a:r>
          </a:p>
        </c:rich>
      </c:tx>
      <c:layout>
        <c:manualLayout>
          <c:xMode val="edge"/>
          <c:yMode val="edge"/>
          <c:x val="0.29324693788276468"/>
          <c:y val="6.57081236520488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sales'!$C$5</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'state sales'!$B$6:$B$27</c:f>
              <c:strCache>
                <c:ptCount val="22"/>
                <c:pt idx="0">
                  <c:v>Alabama</c:v>
                </c:pt>
                <c:pt idx="1">
                  <c:v>Arizona</c:v>
                </c:pt>
                <c:pt idx="2">
                  <c:v>California</c:v>
                </c:pt>
                <c:pt idx="3">
                  <c:v>Delaware</c:v>
                </c:pt>
                <c:pt idx="4">
                  <c:v>Florida</c:v>
                </c:pt>
                <c:pt idx="5">
                  <c:v>Illinois</c:v>
                </c:pt>
                <c:pt idx="6">
                  <c:v>Indiana</c:v>
                </c:pt>
                <c:pt idx="7">
                  <c:v>Kentucky</c:v>
                </c:pt>
                <c:pt idx="8">
                  <c:v>Michigan</c:v>
                </c:pt>
                <c:pt idx="9">
                  <c:v>Minnesota</c:v>
                </c:pt>
                <c:pt idx="10">
                  <c:v>Nebraska</c:v>
                </c:pt>
                <c:pt idx="11">
                  <c:v>New York</c:v>
                </c:pt>
                <c:pt idx="12">
                  <c:v>North Carolina</c:v>
                </c:pt>
                <c:pt idx="13">
                  <c:v>Oregon</c:v>
                </c:pt>
                <c:pt idx="14">
                  <c:v>Pennsylvania</c:v>
                </c:pt>
                <c:pt idx="15">
                  <c:v>South Carolina</c:v>
                </c:pt>
                <c:pt idx="16">
                  <c:v>Tennessee</c:v>
                </c:pt>
                <c:pt idx="17">
                  <c:v>Texas</c:v>
                </c:pt>
                <c:pt idx="18">
                  <c:v>Utah</c:v>
                </c:pt>
                <c:pt idx="19">
                  <c:v>Virginia</c:v>
                </c:pt>
                <c:pt idx="20">
                  <c:v>Washington</c:v>
                </c:pt>
                <c:pt idx="21">
                  <c:v>Wisconsin</c:v>
                </c:pt>
              </c:strCache>
            </c:strRef>
          </c:cat>
          <c:val>
            <c:numRef>
              <c:f>'state sales'!$C$6:$C$27</c:f>
              <c:numCache>
                <c:formatCode>General</c:formatCode>
                <c:ptCount val="22"/>
                <c:pt idx="0">
                  <c:v>224.9</c:v>
                </c:pt>
                <c:pt idx="1">
                  <c:v>1280.992</c:v>
                </c:pt>
                <c:pt idx="2">
                  <c:v>4607.8419999999987</c:v>
                </c:pt>
                <c:pt idx="3">
                  <c:v>66.8</c:v>
                </c:pt>
                <c:pt idx="4">
                  <c:v>1075.5615</c:v>
                </c:pt>
                <c:pt idx="5">
                  <c:v>590.65899999999999</c:v>
                </c:pt>
                <c:pt idx="6">
                  <c:v>209.55</c:v>
                </c:pt>
                <c:pt idx="7">
                  <c:v>993.90000000000009</c:v>
                </c:pt>
                <c:pt idx="8">
                  <c:v>231.01000000000002</c:v>
                </c:pt>
                <c:pt idx="9">
                  <c:v>266.73</c:v>
                </c:pt>
                <c:pt idx="10">
                  <c:v>79.800000000000011</c:v>
                </c:pt>
                <c:pt idx="11">
                  <c:v>1801.4460000000001</c:v>
                </c:pt>
                <c:pt idx="12">
                  <c:v>216.536</c:v>
                </c:pt>
                <c:pt idx="13">
                  <c:v>5.6820000000000004</c:v>
                </c:pt>
                <c:pt idx="14">
                  <c:v>3400.806</c:v>
                </c:pt>
                <c:pt idx="15">
                  <c:v>301.95999999999998</c:v>
                </c:pt>
                <c:pt idx="16">
                  <c:v>1001.76</c:v>
                </c:pt>
                <c:pt idx="17">
                  <c:v>2834.1072000000004</c:v>
                </c:pt>
                <c:pt idx="18">
                  <c:v>1100.1300000000001</c:v>
                </c:pt>
                <c:pt idx="19">
                  <c:v>75.88</c:v>
                </c:pt>
                <c:pt idx="20">
                  <c:v>407.976</c:v>
                </c:pt>
                <c:pt idx="21">
                  <c:v>665.88</c:v>
                </c:pt>
              </c:numCache>
            </c:numRef>
          </c:val>
          <c:extLst>
            <c:ext xmlns:c16="http://schemas.microsoft.com/office/drawing/2014/chart" uri="{C3380CC4-5D6E-409C-BE32-E72D297353CC}">
              <c16:uniqueId val="{00000000-49A0-46AF-905F-6A04519C2E9B}"/>
            </c:ext>
          </c:extLst>
        </c:ser>
        <c:dLbls>
          <c:showLegendKey val="0"/>
          <c:showVal val="0"/>
          <c:showCatName val="0"/>
          <c:showSerName val="0"/>
          <c:showPercent val="0"/>
          <c:showBubbleSize val="0"/>
        </c:dLbls>
        <c:gapWidth val="164"/>
        <c:overlap val="-22"/>
        <c:axId val="1046685407"/>
        <c:axId val="1046692607"/>
      </c:barChart>
      <c:catAx>
        <c:axId val="10466854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92607"/>
        <c:crosses val="autoZero"/>
        <c:auto val="1"/>
        <c:lblAlgn val="ctr"/>
        <c:lblOffset val="100"/>
        <c:noMultiLvlLbl val="0"/>
      </c:catAx>
      <c:valAx>
        <c:axId val="1046692607"/>
        <c:scaling>
          <c:orientation val="minMax"/>
        </c:scaling>
        <c:delete val="0"/>
        <c:axPos val="l"/>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68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[SampleSuperstore(AutoRecovered)2.xlsx]region sales!PivotTable3</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REGION SALES</a:t>
            </a:r>
          </a:p>
        </c:rich>
      </c:tx>
      <c:layout>
        <c:manualLayout>
          <c:xMode val="edge"/>
          <c:yMode val="edge"/>
          <c:x val="0.33189547419591231"/>
          <c:y val="1.317986293379994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560367454068"/>
          <c:y val="0.25865522018081066"/>
          <c:w val="0.71058092738407697"/>
          <c:h val="0.53774387576552929"/>
        </c:manualLayout>
      </c:layout>
      <c:barChart>
        <c:barDir val="col"/>
        <c:grouping val="clustered"/>
        <c:varyColors val="0"/>
        <c:ser>
          <c:idx val="0"/>
          <c:order val="0"/>
          <c:tx>
            <c:strRef>
              <c:f>'region sales'!$C$5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sales'!$B$6:$B$10</c:f>
              <c:strCache>
                <c:ptCount val="4"/>
                <c:pt idx="0">
                  <c:v>South</c:v>
                </c:pt>
                <c:pt idx="1">
                  <c:v>West</c:v>
                </c:pt>
                <c:pt idx="2">
                  <c:v>East</c:v>
                </c:pt>
                <c:pt idx="3">
                  <c:v>Central</c:v>
                </c:pt>
              </c:strCache>
            </c:strRef>
          </c:cat>
          <c:val>
            <c:numRef>
              <c:f>'region sales'!$C$6:$C$10</c:f>
              <c:numCache>
                <c:formatCode>"$"#,##0.00</c:formatCode>
                <c:ptCount val="4"/>
                <c:pt idx="0">
                  <c:v>3890.4974999999999</c:v>
                </c:pt>
                <c:pt idx="1">
                  <c:v>7402.6219999999976</c:v>
                </c:pt>
                <c:pt idx="2">
                  <c:v>5269.0520000000006</c:v>
                </c:pt>
                <c:pt idx="3">
                  <c:v>4877.7361999999994</c:v>
                </c:pt>
              </c:numCache>
            </c:numRef>
          </c:val>
          <c:extLst>
            <c:ext xmlns:c16="http://schemas.microsoft.com/office/drawing/2014/chart" uri="{C3380CC4-5D6E-409C-BE32-E72D297353CC}">
              <c16:uniqueId val="{00000000-2D56-478C-AC74-70F880075EEA}"/>
            </c:ext>
          </c:extLst>
        </c:ser>
        <c:dLbls>
          <c:dLblPos val="outEnd"/>
          <c:showLegendKey val="0"/>
          <c:showVal val="1"/>
          <c:showCatName val="0"/>
          <c:showSerName val="0"/>
          <c:showPercent val="0"/>
          <c:showBubbleSize val="0"/>
        </c:dLbls>
        <c:gapWidth val="100"/>
        <c:overlap val="-24"/>
        <c:axId val="1046730527"/>
        <c:axId val="1046714207"/>
      </c:barChart>
      <c:catAx>
        <c:axId val="1046730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714207"/>
        <c:crosses val="autoZero"/>
        <c:auto val="1"/>
        <c:lblAlgn val="ctr"/>
        <c:lblOffset val="100"/>
        <c:noMultiLvlLbl val="0"/>
      </c:catAx>
      <c:valAx>
        <c:axId val="1046714207"/>
        <c:scaling>
          <c:orientation val="minMax"/>
        </c:scaling>
        <c:delete val="0"/>
        <c:axPos val="l"/>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73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[SampleSuperstore(AutoRecovered)2.xlsx]category quantity!PivotTable4</c:name>
    <c:fmtId val="2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aseline="0"/>
              <a:t>category quantity </a:t>
            </a:r>
            <a:endParaRPr lang="en-US"/>
          </a:p>
        </c:rich>
      </c:tx>
      <c:layout>
        <c:manualLayout>
          <c:xMode val="edge"/>
          <c:yMode val="edge"/>
          <c:x val="0.22814814814814816"/>
          <c:y val="4.050924080032407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26482939632547"/>
          <c:y val="0.22937179983649586"/>
          <c:w val="0.6482018372703412"/>
          <c:h val="0.53132051116561252"/>
        </c:manualLayout>
      </c:layout>
      <c:barChart>
        <c:barDir val="bar"/>
        <c:grouping val="clustered"/>
        <c:varyColors val="0"/>
        <c:ser>
          <c:idx val="0"/>
          <c:order val="0"/>
          <c:tx>
            <c:strRef>
              <c:f>'category quantity'!$C$5</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quantity'!$B$6:$B$9</c:f>
              <c:strCache>
                <c:ptCount val="3"/>
                <c:pt idx="0">
                  <c:v>Furniture</c:v>
                </c:pt>
                <c:pt idx="1">
                  <c:v>Office Supplies</c:v>
                </c:pt>
                <c:pt idx="2">
                  <c:v>Technology</c:v>
                </c:pt>
              </c:strCache>
            </c:strRef>
          </c:cat>
          <c:val>
            <c:numRef>
              <c:f>'category quantity'!$C$6:$C$9</c:f>
              <c:numCache>
                <c:formatCode>General</c:formatCode>
                <c:ptCount val="3"/>
                <c:pt idx="0">
                  <c:v>24</c:v>
                </c:pt>
                <c:pt idx="1">
                  <c:v>59</c:v>
                </c:pt>
                <c:pt idx="2">
                  <c:v>16</c:v>
                </c:pt>
              </c:numCache>
            </c:numRef>
          </c:val>
          <c:extLst>
            <c:ext xmlns:c16="http://schemas.microsoft.com/office/drawing/2014/chart" uri="{C3380CC4-5D6E-409C-BE32-E72D297353CC}">
              <c16:uniqueId val="{00000000-F3E3-4CB9-81B2-5722B757FB3C}"/>
            </c:ext>
          </c:extLst>
        </c:ser>
        <c:dLbls>
          <c:dLblPos val="outEnd"/>
          <c:showLegendKey val="0"/>
          <c:showVal val="1"/>
          <c:showCatName val="0"/>
          <c:showSerName val="0"/>
          <c:showPercent val="0"/>
          <c:showBubbleSize val="0"/>
        </c:dLbls>
        <c:gapWidth val="326"/>
        <c:overlap val="-58"/>
        <c:axId val="432798352"/>
        <c:axId val="432812752"/>
      </c:barChart>
      <c:catAx>
        <c:axId val="432798352"/>
        <c:scaling>
          <c:orientation val="minMax"/>
        </c:scaling>
        <c:delete val="0"/>
        <c:axPos val="l"/>
        <c:title>
          <c:tx>
            <c:rich>
              <a:bodyPr rot="-5400000" spcFirstLastPara="1" vertOverflow="ellipsis" vert="horz" wrap="square" anchor="ctr" anchorCtr="1"/>
              <a:lstStyle/>
              <a:p>
                <a:pPr>
                  <a:defRPr sz="970" b="1" i="0" u="heavy" strike="noStrike" kern="1200" cap="all" baseline="0">
                    <a:solidFill>
                      <a:schemeClr val="tx1">
                        <a:lumMod val="65000"/>
                        <a:lumOff val="35000"/>
                      </a:schemeClr>
                    </a:solidFill>
                    <a:latin typeface="+mn-lt"/>
                    <a:ea typeface="+mn-ea"/>
                    <a:cs typeface="+mn-cs"/>
                  </a:defRPr>
                </a:pPr>
                <a:r>
                  <a:rPr lang="en-US" sz="970" b="1" i="0" u="heavy" baseline="0"/>
                  <a:t>CATEGORY</a:t>
                </a:r>
              </a:p>
            </c:rich>
          </c:tx>
          <c:overlay val="0"/>
          <c:spPr>
            <a:noFill/>
            <a:ln>
              <a:noFill/>
            </a:ln>
            <a:effectLst/>
          </c:spPr>
          <c:txPr>
            <a:bodyPr rot="-5400000" spcFirstLastPara="1" vertOverflow="ellipsis" vert="horz" wrap="square" anchor="ctr" anchorCtr="1"/>
            <a:lstStyle/>
            <a:p>
              <a:pPr>
                <a:defRPr sz="970" b="1" i="0" u="heavy"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432812752"/>
        <c:crosses val="autoZero"/>
        <c:auto val="1"/>
        <c:lblAlgn val="ctr"/>
        <c:lblOffset val="100"/>
        <c:noMultiLvlLbl val="0"/>
      </c:catAx>
      <c:valAx>
        <c:axId val="432812752"/>
        <c:scaling>
          <c:orientation val="minMax"/>
        </c:scaling>
        <c:delete val="0"/>
        <c:axPos val="b"/>
        <c:title>
          <c:tx>
            <c:rich>
              <a:bodyPr rot="0" spcFirstLastPara="1" vertOverflow="ellipsis" vert="horz" wrap="square" anchor="ctr" anchorCtr="1"/>
              <a:lstStyle/>
              <a:p>
                <a:pPr>
                  <a:defRPr sz="950" b="0" i="0" u="heavy" strike="noStrike" kern="1200" cap="all" baseline="0">
                    <a:solidFill>
                      <a:schemeClr val="tx1">
                        <a:lumMod val="65000"/>
                        <a:lumOff val="35000"/>
                      </a:schemeClr>
                    </a:solidFill>
                    <a:latin typeface="+mn-lt"/>
                    <a:ea typeface="+mn-ea"/>
                    <a:cs typeface="+mn-cs"/>
                  </a:defRPr>
                </a:pPr>
                <a:r>
                  <a:rPr lang="en-US" sz="950" b="1" i="0" u="heavy" baseline="0"/>
                  <a:t>QUANTITY</a:t>
                </a:r>
              </a:p>
            </c:rich>
          </c:tx>
          <c:overlay val="0"/>
          <c:spPr>
            <a:noFill/>
            <a:ln>
              <a:noFill/>
            </a:ln>
            <a:effectLst/>
          </c:spPr>
          <c:txPr>
            <a:bodyPr rot="0" spcFirstLastPara="1" vertOverflow="ellipsis" vert="horz" wrap="square" anchor="ctr" anchorCtr="1"/>
            <a:lstStyle/>
            <a:p>
              <a:pPr>
                <a:defRPr sz="950" b="0" i="0" u="heavy"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solidFill>
                <a:latin typeface="+mn-lt"/>
                <a:ea typeface="+mn-ea"/>
                <a:cs typeface="+mn-cs"/>
              </a:defRPr>
            </a:pPr>
            <a:endParaRPr lang="en-US"/>
          </a:p>
        </c:txPr>
        <c:crossAx val="432798352"/>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[SampleSuperstore(AutoRecovered)2.xlsx]segment sales!PivotTable3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SEGMENT SALES</a:t>
            </a:r>
          </a:p>
        </c:rich>
      </c:tx>
      <c:layout>
        <c:manualLayout>
          <c:xMode val="edge"/>
          <c:yMode val="edge"/>
          <c:x val="0.31598350738072634"/>
          <c:y val="4.92472337276066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7095384951881015"/>
              <c:y val="8.2971711869349582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6.9767716535433066E-2"/>
              <c:y val="0.23778871391076106"/>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7105249343832016"/>
              <c:y val="-0.1809806065908427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'segment sales'!$C$4</c:f>
              <c:strCache>
                <c:ptCount val="1"/>
                <c:pt idx="0">
                  <c:v>Total</c:v>
                </c:pt>
              </c:strCache>
            </c:strRef>
          </c:tx>
          <c:dPt>
            <c:idx val="0"/>
            <c:bubble3D val="0"/>
            <c:explosion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08-4351-9561-3DD1EDD282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08-4351-9561-3DD1EDD28222}"/>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08-4351-9561-3DD1EDD2822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'segment sales'!$B$5:$B$8</c:f>
              <c:strCache>
                <c:ptCount val="3"/>
                <c:pt idx="0">
                  <c:v>Consumer</c:v>
                </c:pt>
                <c:pt idx="1">
                  <c:v>Corporate</c:v>
                </c:pt>
                <c:pt idx="2">
                  <c:v>Home Office</c:v>
                </c:pt>
              </c:strCache>
            </c:strRef>
          </c:cat>
          <c:val>
            <c:numRef>
              <c:f>'segment sales'!$C$5:$C$8</c:f>
              <c:numCache>
                <c:formatCode>General</c:formatCode>
                <c:ptCount val="3"/>
                <c:pt idx="0">
                  <c:v>14670.74349999999</c:v>
                </c:pt>
                <c:pt idx="1">
                  <c:v>4735.3139999999994</c:v>
                </c:pt>
                <c:pt idx="2">
                  <c:v>2033.8501999999999</c:v>
                </c:pt>
              </c:numCache>
            </c:numRef>
          </c:val>
          <c:extLst>
            <c:ext xmlns:c16="http://schemas.microsoft.com/office/drawing/2014/chart" uri="{C3380CC4-5D6E-409C-BE32-E72D297353CC}">
              <c16:uniqueId val="{00000006-7908-4351-9561-3DD1EDD28222}"/>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0556072293407313"/>
          <c:y val="0.40390985609557428"/>
          <c:w val="0.23673391386158196"/>
          <c:h val="0.4637634376162749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[SampleSuperstore(AutoRecovered)2.xlsx]Top 5 city by sales!PivotTable1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CITY BY SALES</a:t>
            </a:r>
            <a:endParaRPr lang="en-US" b="1"/>
          </a:p>
        </c:rich>
      </c:tx>
      <c:layout>
        <c:manualLayout>
          <c:xMode val="edge"/>
          <c:yMode val="edge"/>
          <c:x val="0.26480704857544979"/>
          <c:y val="4.470671090248704E-2"/>
        </c:manualLayout>
      </c:layout>
      <c:overlay val="0"/>
      <c:spPr>
        <a:noFill/>
        <a:ln>
          <a:solidFill>
            <a:schemeClr val="bg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3505838944043"/>
          <c:y val="0.21654053144584845"/>
          <c:w val="0.78629441020959334"/>
          <c:h val="0.71923876631893091"/>
        </c:manualLayout>
      </c:layout>
      <c:barChart>
        <c:barDir val="bar"/>
        <c:grouping val="clustered"/>
        <c:varyColors val="0"/>
        <c:ser>
          <c:idx val="0"/>
          <c:order val="0"/>
          <c:tx>
            <c:strRef>
              <c:f>'Top 5 city by sales'!$D$5</c:f>
              <c:strCache>
                <c:ptCount val="1"/>
                <c:pt idx="0">
                  <c:v>Total</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5 city by sales'!$C$6:$C$11</c:f>
              <c:strCache>
                <c:ptCount val="5"/>
                <c:pt idx="0">
                  <c:v>Los Angeles</c:v>
                </c:pt>
                <c:pt idx="1">
                  <c:v>Philadelphia</c:v>
                </c:pt>
                <c:pt idx="2">
                  <c:v>Houston</c:v>
                </c:pt>
                <c:pt idx="3">
                  <c:v>Richardson</c:v>
                </c:pt>
                <c:pt idx="4">
                  <c:v>Gilbert</c:v>
                </c:pt>
              </c:strCache>
            </c:strRef>
          </c:cat>
          <c:val>
            <c:numRef>
              <c:f>'Top 5 city by sales'!$D$6:$D$11</c:f>
              <c:numCache>
                <c:formatCode>"$"#,##0.00</c:formatCode>
                <c:ptCount val="5"/>
                <c:pt idx="0">
                  <c:v>4275.4800000000005</c:v>
                </c:pt>
                <c:pt idx="1">
                  <c:v>3400.806</c:v>
                </c:pt>
                <c:pt idx="2">
                  <c:v>1474.2892000000002</c:v>
                </c:pt>
                <c:pt idx="3">
                  <c:v>1288.4640000000002</c:v>
                </c:pt>
                <c:pt idx="4">
                  <c:v>1280.992</c:v>
                </c:pt>
              </c:numCache>
            </c:numRef>
          </c:val>
          <c:extLst>
            <c:ext xmlns:c16="http://schemas.microsoft.com/office/drawing/2014/chart" uri="{C3380CC4-5D6E-409C-BE32-E72D297353CC}">
              <c16:uniqueId val="{00000000-8FBF-4352-AD3D-9A8BA63905D2}"/>
            </c:ext>
          </c:extLst>
        </c:ser>
        <c:dLbls>
          <c:dLblPos val="outEnd"/>
          <c:showLegendKey val="0"/>
          <c:showVal val="1"/>
          <c:showCatName val="0"/>
          <c:showSerName val="0"/>
          <c:showPercent val="0"/>
          <c:showBubbleSize val="0"/>
        </c:dLbls>
        <c:gapWidth val="182"/>
        <c:axId val="1267878464"/>
        <c:axId val="1267870304"/>
      </c:barChart>
      <c:catAx>
        <c:axId val="126787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7870304"/>
        <c:crosses val="autoZero"/>
        <c:auto val="1"/>
        <c:lblAlgn val="ctr"/>
        <c:lblOffset val="100"/>
        <c:noMultiLvlLbl val="0"/>
      </c:catAx>
      <c:valAx>
        <c:axId val="1267870304"/>
        <c:scaling>
          <c:orientation val="minMax"/>
        </c:scaling>
        <c:delete val="1"/>
        <c:axPos val="b"/>
        <c:numFmt formatCode="&quot;$&quot;#,##0" sourceLinked="0"/>
        <c:majorTickMark val="none"/>
        <c:minorTickMark val="none"/>
        <c:tickLblPos val="nextTo"/>
        <c:crossAx val="126787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[SampleSuperstore(AutoRecovered)2.xlsx]segment sales!PivotTable3</c:name>
    <c:fmtId val="1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SEGMENT SALES</a:t>
            </a:r>
          </a:p>
        </c:rich>
      </c:tx>
      <c:layout>
        <c:manualLayout>
          <c:xMode val="edge"/>
          <c:yMode val="edge"/>
          <c:x val="0.32780383834999349"/>
          <c:y val="5.508541695445964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7095384951881015"/>
              <c:y val="8.2971711869349582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6.9767716535433066E-2"/>
              <c:y val="0.23778871391076106"/>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7105249343832016"/>
              <c:y val="-0.1809806065908427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'segment sales'!$C$4</c:f>
              <c:strCache>
                <c:ptCount val="1"/>
                <c:pt idx="0">
                  <c:v>Total</c:v>
                </c:pt>
              </c:strCache>
            </c:strRef>
          </c:tx>
          <c:dPt>
            <c:idx val="0"/>
            <c:bubble3D val="0"/>
            <c:explosion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74-4028-B528-AB5FC18EA7BA}"/>
              </c:ext>
            </c:extLst>
          </c:dPt>
          <c:dPt>
            <c:idx val="1"/>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74-4028-B528-AB5FC18EA7BA}"/>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74-4028-B528-AB5FC18EA7BA}"/>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'segment sales'!$B$5:$B$8</c:f>
              <c:strCache>
                <c:ptCount val="3"/>
                <c:pt idx="0">
                  <c:v>Consumer</c:v>
                </c:pt>
                <c:pt idx="1">
                  <c:v>Corporate</c:v>
                </c:pt>
                <c:pt idx="2">
                  <c:v>Home Office</c:v>
                </c:pt>
              </c:strCache>
            </c:strRef>
          </c:cat>
          <c:val>
            <c:numRef>
              <c:f>'segment sales'!$C$5:$C$8</c:f>
              <c:numCache>
                <c:formatCode>General</c:formatCode>
                <c:ptCount val="3"/>
                <c:pt idx="0">
                  <c:v>14670.74349999999</c:v>
                </c:pt>
                <c:pt idx="1">
                  <c:v>4735.3139999999994</c:v>
                </c:pt>
                <c:pt idx="2">
                  <c:v>2033.8501999999999</c:v>
                </c:pt>
              </c:numCache>
            </c:numRef>
          </c:val>
          <c:extLst>
            <c:ext xmlns:c16="http://schemas.microsoft.com/office/drawing/2014/chart" uri="{C3380CC4-5D6E-409C-BE32-E72D297353CC}">
              <c16:uniqueId val="{00000006-7074-4028-B528-AB5FC18EA7BA}"/>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0556072293407313"/>
          <c:y val="0.40390985609557428"/>
          <c:w val="0.23673391386158196"/>
          <c:h val="0.463763437616274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[SampleSuperstore(AutoRecovered)2.xlsx]state sales!PivotTable1</c:name>
    <c:fmtId val="16"/>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US"/>
              <a:t>STATE SALES</a:t>
            </a:r>
          </a:p>
        </c:rich>
      </c:tx>
      <c:layout>
        <c:manualLayout>
          <c:xMode val="edge"/>
          <c:yMode val="edge"/>
          <c:x val="0.29639198745990086"/>
          <c:y val="9.454966164075639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sales'!$C$5</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'state sales'!$B$6:$B$27</c:f>
              <c:strCache>
                <c:ptCount val="22"/>
                <c:pt idx="0">
                  <c:v>Alabama</c:v>
                </c:pt>
                <c:pt idx="1">
                  <c:v>Arizona</c:v>
                </c:pt>
                <c:pt idx="2">
                  <c:v>California</c:v>
                </c:pt>
                <c:pt idx="3">
                  <c:v>Delaware</c:v>
                </c:pt>
                <c:pt idx="4">
                  <c:v>Florida</c:v>
                </c:pt>
                <c:pt idx="5">
                  <c:v>Illinois</c:v>
                </c:pt>
                <c:pt idx="6">
                  <c:v>Indiana</c:v>
                </c:pt>
                <c:pt idx="7">
                  <c:v>Kentucky</c:v>
                </c:pt>
                <c:pt idx="8">
                  <c:v>Michigan</c:v>
                </c:pt>
                <c:pt idx="9">
                  <c:v>Minnesota</c:v>
                </c:pt>
                <c:pt idx="10">
                  <c:v>Nebraska</c:v>
                </c:pt>
                <c:pt idx="11">
                  <c:v>New York</c:v>
                </c:pt>
                <c:pt idx="12">
                  <c:v>North Carolina</c:v>
                </c:pt>
                <c:pt idx="13">
                  <c:v>Oregon</c:v>
                </c:pt>
                <c:pt idx="14">
                  <c:v>Pennsylvania</c:v>
                </c:pt>
                <c:pt idx="15">
                  <c:v>South Carolina</c:v>
                </c:pt>
                <c:pt idx="16">
                  <c:v>Tennessee</c:v>
                </c:pt>
                <c:pt idx="17">
                  <c:v>Texas</c:v>
                </c:pt>
                <c:pt idx="18">
                  <c:v>Utah</c:v>
                </c:pt>
                <c:pt idx="19">
                  <c:v>Virginia</c:v>
                </c:pt>
                <c:pt idx="20">
                  <c:v>Washington</c:v>
                </c:pt>
                <c:pt idx="21">
                  <c:v>Wisconsin</c:v>
                </c:pt>
              </c:strCache>
            </c:strRef>
          </c:cat>
          <c:val>
            <c:numRef>
              <c:f>'state sales'!$C$6:$C$27</c:f>
              <c:numCache>
                <c:formatCode>General</c:formatCode>
                <c:ptCount val="22"/>
                <c:pt idx="0">
                  <c:v>224.9</c:v>
                </c:pt>
                <c:pt idx="1">
                  <c:v>1280.992</c:v>
                </c:pt>
                <c:pt idx="2">
                  <c:v>4607.8419999999987</c:v>
                </c:pt>
                <c:pt idx="3">
                  <c:v>66.8</c:v>
                </c:pt>
                <c:pt idx="4">
                  <c:v>1075.5615</c:v>
                </c:pt>
                <c:pt idx="5">
                  <c:v>590.65899999999999</c:v>
                </c:pt>
                <c:pt idx="6">
                  <c:v>209.55</c:v>
                </c:pt>
                <c:pt idx="7">
                  <c:v>993.90000000000009</c:v>
                </c:pt>
                <c:pt idx="8">
                  <c:v>231.01000000000002</c:v>
                </c:pt>
                <c:pt idx="9">
                  <c:v>266.73</c:v>
                </c:pt>
                <c:pt idx="10">
                  <c:v>79.800000000000011</c:v>
                </c:pt>
                <c:pt idx="11">
                  <c:v>1801.4460000000001</c:v>
                </c:pt>
                <c:pt idx="12">
                  <c:v>216.536</c:v>
                </c:pt>
                <c:pt idx="13">
                  <c:v>5.6820000000000004</c:v>
                </c:pt>
                <c:pt idx="14">
                  <c:v>3400.806</c:v>
                </c:pt>
                <c:pt idx="15">
                  <c:v>301.95999999999998</c:v>
                </c:pt>
                <c:pt idx="16">
                  <c:v>1001.76</c:v>
                </c:pt>
                <c:pt idx="17">
                  <c:v>2834.1072000000004</c:v>
                </c:pt>
                <c:pt idx="18">
                  <c:v>1100.1300000000001</c:v>
                </c:pt>
                <c:pt idx="19">
                  <c:v>75.88</c:v>
                </c:pt>
                <c:pt idx="20">
                  <c:v>407.976</c:v>
                </c:pt>
                <c:pt idx="21">
                  <c:v>665.88</c:v>
                </c:pt>
              </c:numCache>
            </c:numRef>
          </c:val>
          <c:extLst>
            <c:ext xmlns:c16="http://schemas.microsoft.com/office/drawing/2014/chart" uri="{C3380CC4-5D6E-409C-BE32-E72D297353CC}">
              <c16:uniqueId val="{00000000-D834-452A-9A06-E0ED016E5C4B}"/>
            </c:ext>
          </c:extLst>
        </c:ser>
        <c:dLbls>
          <c:showLegendKey val="0"/>
          <c:showVal val="0"/>
          <c:showCatName val="0"/>
          <c:showSerName val="0"/>
          <c:showPercent val="0"/>
          <c:showBubbleSize val="0"/>
        </c:dLbls>
        <c:gapWidth val="164"/>
        <c:overlap val="-22"/>
        <c:axId val="1046685407"/>
        <c:axId val="1046692607"/>
      </c:barChart>
      <c:catAx>
        <c:axId val="10466854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692607"/>
        <c:crosses val="autoZero"/>
        <c:auto val="1"/>
        <c:lblAlgn val="ctr"/>
        <c:lblOffset val="100"/>
        <c:noMultiLvlLbl val="0"/>
      </c:catAx>
      <c:valAx>
        <c:axId val="1046692607"/>
        <c:scaling>
          <c:orientation val="minMax"/>
        </c:scaling>
        <c:delete val="0"/>
        <c:axPos val="l"/>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68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[SampleSuperstore(AutoRecovered)2.xlsx]category sales!PivotTable2</c:name>
    <c:fmtId val="2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CATEGORY SALES</a:t>
            </a:r>
          </a:p>
        </c:rich>
      </c:tx>
      <c:layout>
        <c:manualLayout>
          <c:xMode val="edge"/>
          <c:yMode val="edge"/>
          <c:x val="0.33509712495615462"/>
          <c:y val="6.90607188745758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pivotFmt>
      <c:pivotFmt>
        <c:idx val="4"/>
      </c:pivotFmt>
      <c:pivotFmt>
        <c:idx val="5"/>
      </c:pivotFmt>
      <c:pivotFmt>
        <c:idx val="6"/>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'category sales'!$C$5</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50-4199-90F8-5A5C723477C5}"/>
              </c:ext>
            </c:extLst>
          </c:dPt>
          <c:dPt>
            <c:idx val="1"/>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50-4199-90F8-5A5C723477C5}"/>
              </c:ext>
            </c:extLst>
          </c:dPt>
          <c:dPt>
            <c:idx val="2"/>
            <c:bubble3D val="0"/>
            <c:spPr>
              <a:gradFill rotWithShape="1">
                <a:gsLst>
                  <a:gs pos="0">
                    <a:schemeClr val="accent2">
                      <a:tint val="30000"/>
                      <a:satMod val="103000"/>
                      <a:lumMod val="102000"/>
                      <a:tint val="94000"/>
                    </a:schemeClr>
                  </a:gs>
                  <a:gs pos="50000">
                    <a:schemeClr val="accent2">
                      <a:tint val="30000"/>
                      <a:satMod val="110000"/>
                      <a:lumMod val="100000"/>
                      <a:shade val="100000"/>
                    </a:schemeClr>
                  </a:gs>
                  <a:gs pos="100000">
                    <a:schemeClr val="accent2">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50-4199-90F8-5A5C723477C5}"/>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sales'!$B$6:$B$9</c:f>
              <c:strCache>
                <c:ptCount val="3"/>
                <c:pt idx="0">
                  <c:v>Furniture</c:v>
                </c:pt>
                <c:pt idx="1">
                  <c:v>Office Supplies</c:v>
                </c:pt>
                <c:pt idx="2">
                  <c:v>Technology</c:v>
                </c:pt>
              </c:strCache>
            </c:strRef>
          </c:cat>
          <c:val>
            <c:numRef>
              <c:f>'category sales'!$C$6:$C$9</c:f>
              <c:numCache>
                <c:formatCode>_("$"* #,##0.00_);_("$"* \(#,##0.00\);_("$"* "-"??_);_(@_)</c:formatCode>
                <c:ptCount val="3"/>
                <c:pt idx="0">
                  <c:v>11083.779699999999</c:v>
                </c:pt>
                <c:pt idx="1">
                  <c:v>5169.37</c:v>
                </c:pt>
                <c:pt idx="2">
                  <c:v>5186.7579999999998</c:v>
                </c:pt>
              </c:numCache>
            </c:numRef>
          </c:val>
          <c:extLst>
            <c:ext xmlns:c16="http://schemas.microsoft.com/office/drawing/2014/chart" uri="{C3380CC4-5D6E-409C-BE32-E72D297353CC}">
              <c16:uniqueId val="{00000006-1350-4199-90F8-5A5C723477C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9082655381461822"/>
          <c:y val="0.40872338874307373"/>
          <c:w val="0.23897265501386794"/>
          <c:h val="0.32450924103237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[SampleSuperstore(AutoRecovered)2.xlsx]region sales!PivotTable3</c:name>
    <c:fmtId val="1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REGION SALES</a:t>
            </a:r>
          </a:p>
        </c:rich>
      </c:tx>
      <c:layout>
        <c:manualLayout>
          <c:xMode val="edge"/>
          <c:yMode val="edge"/>
          <c:x val="0.33189547419591231"/>
          <c:y val="1.317986293379994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560367454068"/>
          <c:y val="0.25865522018081066"/>
          <c:w val="0.71058092738407697"/>
          <c:h val="0.53774387576552929"/>
        </c:manualLayout>
      </c:layout>
      <c:barChart>
        <c:barDir val="col"/>
        <c:grouping val="clustered"/>
        <c:varyColors val="0"/>
        <c:ser>
          <c:idx val="0"/>
          <c:order val="0"/>
          <c:tx>
            <c:strRef>
              <c:f>'region sales'!$C$5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sales'!$B$6:$B$10</c:f>
              <c:strCache>
                <c:ptCount val="4"/>
                <c:pt idx="0">
                  <c:v>South</c:v>
                </c:pt>
                <c:pt idx="1">
                  <c:v>West</c:v>
                </c:pt>
                <c:pt idx="2">
                  <c:v>East</c:v>
                </c:pt>
                <c:pt idx="3">
                  <c:v>Central</c:v>
                </c:pt>
              </c:strCache>
            </c:strRef>
          </c:cat>
          <c:val>
            <c:numRef>
              <c:f>'region sales'!$C$6:$C$10</c:f>
              <c:numCache>
                <c:formatCode>"$"#,##0.00</c:formatCode>
                <c:ptCount val="4"/>
                <c:pt idx="0">
                  <c:v>3890.4974999999999</c:v>
                </c:pt>
                <c:pt idx="1">
                  <c:v>7402.6219999999976</c:v>
                </c:pt>
                <c:pt idx="2">
                  <c:v>5269.0520000000006</c:v>
                </c:pt>
                <c:pt idx="3">
                  <c:v>4877.7361999999994</c:v>
                </c:pt>
              </c:numCache>
            </c:numRef>
          </c:val>
          <c:extLst>
            <c:ext xmlns:c16="http://schemas.microsoft.com/office/drawing/2014/chart" uri="{C3380CC4-5D6E-409C-BE32-E72D297353CC}">
              <c16:uniqueId val="{00000000-33BD-4C82-9F78-F8F219D4E49B}"/>
            </c:ext>
          </c:extLst>
        </c:ser>
        <c:dLbls>
          <c:dLblPos val="outEnd"/>
          <c:showLegendKey val="0"/>
          <c:showVal val="1"/>
          <c:showCatName val="0"/>
          <c:showSerName val="0"/>
          <c:showPercent val="0"/>
          <c:showBubbleSize val="0"/>
        </c:dLbls>
        <c:gapWidth val="100"/>
        <c:overlap val="-24"/>
        <c:axId val="1046730527"/>
        <c:axId val="1046714207"/>
      </c:barChart>
      <c:catAx>
        <c:axId val="1046730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714207"/>
        <c:crosses val="autoZero"/>
        <c:auto val="1"/>
        <c:lblAlgn val="ctr"/>
        <c:lblOffset val="100"/>
        <c:noMultiLvlLbl val="0"/>
      </c:catAx>
      <c:valAx>
        <c:axId val="1046714207"/>
        <c:scaling>
          <c:orientation val="minMax"/>
        </c:scaling>
        <c:delete val="0"/>
        <c:axPos val="l"/>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673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[SampleSuperstore(AutoRecovered)2.xlsx]category quantity!PivotTable4</c:name>
    <c:fmtId val="28"/>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a:t>category quantity </a:t>
            </a:r>
          </a:p>
        </c:rich>
      </c:tx>
      <c:layout>
        <c:manualLayout>
          <c:xMode val="edge"/>
          <c:yMode val="edge"/>
          <c:x val="0.21632787922786248"/>
          <c:y val="4.050924080032407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50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26482939632547"/>
          <c:y val="0.22937179983649586"/>
          <c:w val="0.6482018372703412"/>
          <c:h val="0.53132051116561252"/>
        </c:manualLayout>
      </c:layout>
      <c:barChart>
        <c:barDir val="bar"/>
        <c:grouping val="clustered"/>
        <c:varyColors val="0"/>
        <c:ser>
          <c:idx val="0"/>
          <c:order val="0"/>
          <c:tx>
            <c:strRef>
              <c:f>'category quantity'!$C$5</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quantity'!$B$6:$B$9</c:f>
              <c:strCache>
                <c:ptCount val="3"/>
                <c:pt idx="0">
                  <c:v>Furniture</c:v>
                </c:pt>
                <c:pt idx="1">
                  <c:v>Office Supplies</c:v>
                </c:pt>
                <c:pt idx="2">
                  <c:v>Technology</c:v>
                </c:pt>
              </c:strCache>
            </c:strRef>
          </c:cat>
          <c:val>
            <c:numRef>
              <c:f>'category quantity'!$C$6:$C$9</c:f>
              <c:numCache>
                <c:formatCode>General</c:formatCode>
                <c:ptCount val="3"/>
                <c:pt idx="0">
                  <c:v>24</c:v>
                </c:pt>
                <c:pt idx="1">
                  <c:v>59</c:v>
                </c:pt>
                <c:pt idx="2">
                  <c:v>16</c:v>
                </c:pt>
              </c:numCache>
            </c:numRef>
          </c:val>
          <c:extLst>
            <c:ext xmlns:c16="http://schemas.microsoft.com/office/drawing/2014/chart" uri="{C3380CC4-5D6E-409C-BE32-E72D297353CC}">
              <c16:uniqueId val="{00000000-478A-47D9-B169-72C00AA92F51}"/>
            </c:ext>
          </c:extLst>
        </c:ser>
        <c:dLbls>
          <c:dLblPos val="outEnd"/>
          <c:showLegendKey val="0"/>
          <c:showVal val="1"/>
          <c:showCatName val="0"/>
          <c:showSerName val="0"/>
          <c:showPercent val="0"/>
          <c:showBubbleSize val="0"/>
        </c:dLbls>
        <c:gapWidth val="326"/>
        <c:overlap val="-58"/>
        <c:axId val="432798352"/>
        <c:axId val="432812752"/>
      </c:barChart>
      <c:catAx>
        <c:axId val="43279835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2812752"/>
        <c:crosses val="autoZero"/>
        <c:auto val="1"/>
        <c:lblAlgn val="ctr"/>
        <c:lblOffset val="100"/>
        <c:noMultiLvlLbl val="0"/>
      </c:catAx>
      <c:valAx>
        <c:axId val="4328127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2798352"/>
        <c:crosses val="autoZero"/>
        <c:crossBetween val="between"/>
      </c:valAx>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[SampleSuperstore(AutoRecovered)2.xlsx]Top 5 subcategory by sales!PivotTable1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Subcategory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subcategory by sales'!$C$6</c:f>
              <c:strCache>
                <c:ptCount val="1"/>
                <c:pt idx="0">
                  <c:v>Total</c:v>
                </c:pt>
              </c:strCache>
            </c:strRef>
          </c:tx>
          <c:spPr>
            <a:solidFill>
              <a:schemeClr val="accent2"/>
            </a:solidFill>
            <a:ln>
              <a:noFill/>
            </a:ln>
            <a:effectLst/>
          </c:spPr>
          <c:invertIfNegative val="0"/>
          <c:cat>
            <c:strRef>
              <c:f>'Top 5 subcategory by sales'!$B$7:$B$12</c:f>
              <c:strCache>
                <c:ptCount val="5"/>
                <c:pt idx="0">
                  <c:v>Phones</c:v>
                </c:pt>
                <c:pt idx="1">
                  <c:v>Bookcases</c:v>
                </c:pt>
                <c:pt idx="2">
                  <c:v>Tables</c:v>
                </c:pt>
                <c:pt idx="3">
                  <c:v>Chairs</c:v>
                </c:pt>
                <c:pt idx="4">
                  <c:v>Storage</c:v>
                </c:pt>
              </c:strCache>
            </c:strRef>
          </c:cat>
          <c:val>
            <c:numRef>
              <c:f>'Top 5 subcategory by sales'!$C$7:$C$12</c:f>
              <c:numCache>
                <c:formatCode>"$"#,##0.00</c:formatCode>
                <c:ptCount val="5"/>
                <c:pt idx="0">
                  <c:v>4941.2380000000003</c:v>
                </c:pt>
                <c:pt idx="1">
                  <c:v>3877.7891999999997</c:v>
                </c:pt>
                <c:pt idx="2">
                  <c:v>3708.3915000000002</c:v>
                </c:pt>
                <c:pt idx="3">
                  <c:v>2771.7809999999999</c:v>
                </c:pt>
                <c:pt idx="4">
                  <c:v>1847.922</c:v>
                </c:pt>
              </c:numCache>
            </c:numRef>
          </c:val>
          <c:extLst>
            <c:ext xmlns:c16="http://schemas.microsoft.com/office/drawing/2014/chart" uri="{C3380CC4-5D6E-409C-BE32-E72D297353CC}">
              <c16:uniqueId val="{00000000-C688-4315-881A-21D668F68B8E}"/>
            </c:ext>
          </c:extLst>
        </c:ser>
        <c:dLbls>
          <c:showLegendKey val="0"/>
          <c:showVal val="0"/>
          <c:showCatName val="0"/>
          <c:showSerName val="0"/>
          <c:showPercent val="0"/>
          <c:showBubbleSize val="0"/>
        </c:dLbls>
        <c:gapWidth val="182"/>
        <c:axId val="1284537952"/>
        <c:axId val="1284538912"/>
      </c:barChart>
      <c:catAx>
        <c:axId val="128453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4538912"/>
        <c:crosses val="autoZero"/>
        <c:auto val="1"/>
        <c:lblAlgn val="ctr"/>
        <c:lblOffset val="100"/>
        <c:noMultiLvlLbl val="0"/>
      </c:catAx>
      <c:valAx>
        <c:axId val="1284538912"/>
        <c:scaling>
          <c:orientation val="minMax"/>
        </c:scaling>
        <c:delete val="0"/>
        <c:axPos val="b"/>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453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[SampleSuperstore(AutoRecovered)2.xlsx]Top 5 city by sales!PivotTable1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city by sales'!$D$5</c:f>
              <c:strCache>
                <c:ptCount val="1"/>
                <c:pt idx="0">
                  <c:v>Total</c:v>
                </c:pt>
              </c:strCache>
            </c:strRef>
          </c:tx>
          <c:spPr>
            <a:solidFill>
              <a:schemeClr val="accent1"/>
            </a:solidFill>
            <a:ln>
              <a:noFill/>
            </a:ln>
            <a:effectLst/>
          </c:spPr>
          <c:invertIfNegative val="0"/>
          <c:cat>
            <c:strRef>
              <c:f>'Top 5 city by sales'!$C$6:$C$11</c:f>
              <c:strCache>
                <c:ptCount val="5"/>
                <c:pt idx="0">
                  <c:v>Los Angeles</c:v>
                </c:pt>
                <c:pt idx="1">
                  <c:v>Philadelphia</c:v>
                </c:pt>
                <c:pt idx="2">
                  <c:v>Houston</c:v>
                </c:pt>
                <c:pt idx="3">
                  <c:v>Richardson</c:v>
                </c:pt>
                <c:pt idx="4">
                  <c:v>Gilbert</c:v>
                </c:pt>
              </c:strCache>
            </c:strRef>
          </c:cat>
          <c:val>
            <c:numRef>
              <c:f>'Top 5 city by sales'!$D$6:$D$11</c:f>
              <c:numCache>
                <c:formatCode>"$"#,##0.00</c:formatCode>
                <c:ptCount val="5"/>
                <c:pt idx="0">
                  <c:v>4275.4800000000005</c:v>
                </c:pt>
                <c:pt idx="1">
                  <c:v>3400.806</c:v>
                </c:pt>
                <c:pt idx="2">
                  <c:v>1474.2892000000002</c:v>
                </c:pt>
                <c:pt idx="3">
                  <c:v>1288.4640000000002</c:v>
                </c:pt>
                <c:pt idx="4">
                  <c:v>1280.992</c:v>
                </c:pt>
              </c:numCache>
            </c:numRef>
          </c:val>
          <c:extLst>
            <c:ext xmlns:c16="http://schemas.microsoft.com/office/drawing/2014/chart" uri="{C3380CC4-5D6E-409C-BE32-E72D297353CC}">
              <c16:uniqueId val="{00000000-BFEC-4072-8F22-B59E94D4C86F}"/>
            </c:ext>
          </c:extLst>
        </c:ser>
        <c:dLbls>
          <c:showLegendKey val="0"/>
          <c:showVal val="0"/>
          <c:showCatName val="0"/>
          <c:showSerName val="0"/>
          <c:showPercent val="0"/>
          <c:showBubbleSize val="0"/>
        </c:dLbls>
        <c:gapWidth val="182"/>
        <c:axId val="454182111"/>
        <c:axId val="454201311"/>
      </c:barChart>
      <c:catAx>
        <c:axId val="45418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4201311"/>
        <c:crosses val="autoZero"/>
        <c:auto val="1"/>
        <c:lblAlgn val="ctr"/>
        <c:lblOffset val="100"/>
        <c:noMultiLvlLbl val="0"/>
      </c:catAx>
      <c:valAx>
        <c:axId val="4542013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418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[SampleSuperstore(AutoRecovered)2.xlsx]profit shipmode!PivotTable2</c:name>
    <c:fmtId val="0"/>
  </c:pivotSource>
  <c:chart>
    <c:title>
      <c:tx>
        <c:rich>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r>
              <a:rPr lang="en-US"/>
              <a:t>profit by ship mode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n-lt"/>
              <a:ea typeface="+mn-ea"/>
              <a:cs typeface="+mn-cs"/>
            </a:defRPr>
          </a:pPr>
          <a:endParaRPr lang="en-US"/>
        </a:p>
      </c:txPr>
    </c:title>
    <c:autoTitleDeleted val="0"/>
    <c:pivotFmts>
      <c:pivotFmt>
        <c:idx val="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pivotFmt>
      <c:pivotFmt>
        <c:idx val="2"/>
        <c:spPr>
          <a:solidFill>
            <a:schemeClr val="accent2">
              <a:alpha val="70000"/>
            </a:schemeClr>
          </a:solidFill>
          <a:ln>
            <a:noFill/>
          </a:ln>
          <a:effectLst/>
        </c:spPr>
      </c:pivotFmt>
    </c:pivotFmts>
    <c:plotArea>
      <c:layout>
        <c:manualLayout>
          <c:layoutTarget val="inner"/>
          <c:xMode val="edge"/>
          <c:yMode val="edge"/>
          <c:x val="0.10391699633051486"/>
          <c:y val="0.14313996316758751"/>
          <c:w val="0.87468118451485699"/>
          <c:h val="0.7785911602209945"/>
        </c:manualLayout>
      </c:layout>
      <c:barChart>
        <c:barDir val="col"/>
        <c:grouping val="clustered"/>
        <c:varyColors val="0"/>
        <c:ser>
          <c:idx val="0"/>
          <c:order val="0"/>
          <c:tx>
            <c:strRef>
              <c:f>'profit shipmode'!$C$5</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shipmode'!$B$6:$B$9</c:f>
              <c:strCache>
                <c:ptCount val="3"/>
                <c:pt idx="0">
                  <c:v>First Class</c:v>
                </c:pt>
                <c:pt idx="1">
                  <c:v>Second Class</c:v>
                </c:pt>
                <c:pt idx="2">
                  <c:v>Standard Class</c:v>
                </c:pt>
              </c:strCache>
            </c:strRef>
          </c:cat>
          <c:val>
            <c:numRef>
              <c:f>'profit shipmode'!$C$6:$C$9</c:f>
              <c:numCache>
                <c:formatCode>General</c:formatCode>
                <c:ptCount val="3"/>
                <c:pt idx="0">
                  <c:v>169.64019999999999</c:v>
                </c:pt>
                <c:pt idx="1">
                  <c:v>458.44649999999984</c:v>
                </c:pt>
                <c:pt idx="2">
                  <c:v>-752.59580000000005</c:v>
                </c:pt>
              </c:numCache>
            </c:numRef>
          </c:val>
          <c:extLst>
            <c:ext xmlns:c16="http://schemas.microsoft.com/office/drawing/2014/chart" uri="{C3380CC4-5D6E-409C-BE32-E72D297353CC}">
              <c16:uniqueId val="{00000000-0DD0-4040-8F37-4138F0AE0584}"/>
            </c:ext>
          </c:extLst>
        </c:ser>
        <c:dLbls>
          <c:dLblPos val="outEnd"/>
          <c:showLegendKey val="0"/>
          <c:showVal val="1"/>
          <c:showCatName val="0"/>
          <c:showSerName val="0"/>
          <c:showPercent val="0"/>
          <c:showBubbleSize val="0"/>
        </c:dLbls>
        <c:gapWidth val="80"/>
        <c:overlap val="25"/>
        <c:axId val="432787792"/>
        <c:axId val="432791152"/>
      </c:barChart>
      <c:catAx>
        <c:axId val="43278779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ln>
                  <a:solidFill>
                    <a:schemeClr val="tx1"/>
                  </a:solidFill>
                </a:ln>
                <a:solidFill>
                  <a:schemeClr val="dk1"/>
                </a:solidFill>
                <a:latin typeface="+mn-lt"/>
                <a:ea typeface="+mn-ea"/>
                <a:cs typeface="+mn-cs"/>
              </a:defRPr>
            </a:pPr>
            <a:endParaRPr lang="en-US"/>
          </a:p>
        </c:txPr>
        <c:crossAx val="432791152"/>
        <c:crosses val="autoZero"/>
        <c:auto val="1"/>
        <c:lblAlgn val="ctr"/>
        <c:lblOffset val="100"/>
        <c:noMultiLvlLbl val="0"/>
      </c:catAx>
      <c:valAx>
        <c:axId val="43279115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43278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png"/><Relationship Id="rId3" Type="http://schemas.openxmlformats.org/officeDocument/2006/relationships/chart" Target="../charts/chart3.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24" Type="http://schemas.openxmlformats.org/officeDocument/2006/relationships/image" Target="../media/image18.svg"/><Relationship Id="rId5" Type="http://schemas.openxmlformats.org/officeDocument/2006/relationships/chart" Target="../charts/chart5.xml"/><Relationship Id="rId15" Type="http://schemas.openxmlformats.org/officeDocument/2006/relationships/image" Target="../media/image9.png"/><Relationship Id="rId23" Type="http://schemas.openxmlformats.org/officeDocument/2006/relationships/image" Target="../media/image17.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 Id="rId27" Type="http://schemas.openxmlformats.org/officeDocument/2006/relationships/image" Target="../media/image21.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16</xdr:col>
      <xdr:colOff>370974</xdr:colOff>
      <xdr:row>9</xdr:row>
      <xdr:rowOff>89436</xdr:rowOff>
    </xdr:from>
    <xdr:to>
      <xdr:col>23</xdr:col>
      <xdr:colOff>310014</xdr:colOff>
      <xdr:row>21</xdr:row>
      <xdr:rowOff>70186</xdr:rowOff>
    </xdr:to>
    <xdr:graphicFrame macro="">
      <xdr:nvGraphicFramePr>
        <xdr:cNvPr id="3" name="Chart 2">
          <a:extLst>
            <a:ext uri="{FF2B5EF4-FFF2-40B4-BE49-F238E27FC236}">
              <a16:creationId xmlns:a16="http://schemas.microsoft.com/office/drawing/2014/main" id="{ABBDA9DB-C3A7-4854-89EC-80846019E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376586</xdr:colOff>
      <xdr:row>21</xdr:row>
      <xdr:rowOff>137964</xdr:rowOff>
    </xdr:from>
    <xdr:to>
      <xdr:col>9</xdr:col>
      <xdr:colOff>315626</xdr:colOff>
      <xdr:row>33</xdr:row>
      <xdr:rowOff>120319</xdr:rowOff>
    </xdr:to>
    <xdr:graphicFrame macro="">
      <xdr:nvGraphicFramePr>
        <xdr:cNvPr id="4" name="Chart 3">
          <a:extLst>
            <a:ext uri="{FF2B5EF4-FFF2-40B4-BE49-F238E27FC236}">
              <a16:creationId xmlns:a16="http://schemas.microsoft.com/office/drawing/2014/main" id="{0CC807BD-9CAD-4FA9-A6C0-0872DB30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50131</xdr:colOff>
      <xdr:row>3</xdr:row>
      <xdr:rowOff>39304</xdr:rowOff>
    </xdr:from>
    <xdr:to>
      <xdr:col>2</xdr:col>
      <xdr:colOff>293971</xdr:colOff>
      <xdr:row>11</xdr:row>
      <xdr:rowOff>39305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7CB92616-FBF1-AA6D-E476-0CD6116816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131" y="587944"/>
              <a:ext cx="1463040" cy="1463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54143</xdr:colOff>
      <xdr:row>11</xdr:row>
      <xdr:rowOff>152802</xdr:rowOff>
    </xdr:from>
    <xdr:to>
      <xdr:col>2</xdr:col>
      <xdr:colOff>297983</xdr:colOff>
      <xdr:row>23</xdr:row>
      <xdr:rowOff>82619</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DD028A66-EFF1-2B8A-6981-CE6659EABB7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4143" y="2164482"/>
              <a:ext cx="1463040" cy="2124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354530</xdr:colOff>
      <xdr:row>9</xdr:row>
      <xdr:rowOff>81410</xdr:rowOff>
    </xdr:from>
    <xdr:to>
      <xdr:col>9</xdr:col>
      <xdr:colOff>293570</xdr:colOff>
      <xdr:row>21</xdr:row>
      <xdr:rowOff>62160</xdr:rowOff>
    </xdr:to>
    <xdr:graphicFrame macro="">
      <xdr:nvGraphicFramePr>
        <xdr:cNvPr id="12" name="Chart 1">
          <a:extLst>
            <a:ext uri="{FF2B5EF4-FFF2-40B4-BE49-F238E27FC236}">
              <a16:creationId xmlns:a16="http://schemas.microsoft.com/office/drawing/2014/main" id="{964D6738-F519-114B-6A25-270A93E0D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349319</xdr:colOff>
      <xdr:row>21</xdr:row>
      <xdr:rowOff>145581</xdr:rowOff>
    </xdr:from>
    <xdr:to>
      <xdr:col>16</xdr:col>
      <xdr:colOff>288359</xdr:colOff>
      <xdr:row>33</xdr:row>
      <xdr:rowOff>127936</xdr:rowOff>
    </xdr:to>
    <xdr:graphicFrame macro="">
      <xdr:nvGraphicFramePr>
        <xdr:cNvPr id="13" name="Chart 2">
          <a:extLst>
            <a:ext uri="{FF2B5EF4-FFF2-40B4-BE49-F238E27FC236}">
              <a16:creationId xmlns:a16="http://schemas.microsoft.com/office/drawing/2014/main" id="{56ECF3E2-318C-79F1-B04A-59E8C4ED2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40507</xdr:colOff>
      <xdr:row>24</xdr:row>
      <xdr:rowOff>52939</xdr:rowOff>
    </xdr:from>
    <xdr:to>
      <xdr:col>2</xdr:col>
      <xdr:colOff>284347</xdr:colOff>
      <xdr:row>33</xdr:row>
      <xdr:rowOff>85024</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6785F34F-370C-79D6-282E-83EDEA2666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507" y="4442059"/>
              <a:ext cx="1463040" cy="1678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342098</xdr:colOff>
      <xdr:row>9</xdr:row>
      <xdr:rowOff>81414</xdr:rowOff>
    </xdr:from>
    <xdr:to>
      <xdr:col>16</xdr:col>
      <xdr:colOff>281138</xdr:colOff>
      <xdr:row>21</xdr:row>
      <xdr:rowOff>62164</xdr:rowOff>
    </xdr:to>
    <xdr:graphicFrame macro="">
      <xdr:nvGraphicFramePr>
        <xdr:cNvPr id="14" name="Chart 1">
          <a:extLst>
            <a:ext uri="{FF2B5EF4-FFF2-40B4-BE49-F238E27FC236}">
              <a16:creationId xmlns:a16="http://schemas.microsoft.com/office/drawing/2014/main" id="{C2CCFA9D-A907-7FEB-2D2D-1A6BB1849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369371</xdr:colOff>
      <xdr:row>21</xdr:row>
      <xdr:rowOff>168843</xdr:rowOff>
    </xdr:from>
    <xdr:to>
      <xdr:col>23</xdr:col>
      <xdr:colOff>308411</xdr:colOff>
      <xdr:row>33</xdr:row>
      <xdr:rowOff>149594</xdr:rowOff>
    </xdr:to>
    <xdr:graphicFrame macro="">
      <xdr:nvGraphicFramePr>
        <xdr:cNvPr id="2" name="Chart 1">
          <a:extLst>
            <a:ext uri="{FF2B5EF4-FFF2-40B4-BE49-F238E27FC236}">
              <a16:creationId xmlns:a16="http://schemas.microsoft.com/office/drawing/2014/main" id="{C312E8E9-45A3-86DC-06FB-FEB07CEB6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10</xdr:col>
      <xdr:colOff>129540</xdr:colOff>
      <xdr:row>4</xdr:row>
      <xdr:rowOff>167640</xdr:rowOff>
    </xdr:from>
    <xdr:ext cx="184731" cy="264560"/>
    <xdr:sp macro="" textlink="">
      <xdr:nvSpPr>
        <xdr:cNvPr id="19" name="TextBox 18">
          <a:extLst>
            <a:ext uri="{FF2B5EF4-FFF2-40B4-BE49-F238E27FC236}">
              <a16:creationId xmlns:a16="http://schemas.microsoft.com/office/drawing/2014/main" id="{D26369C7-CC11-C49B-481D-C2877795A754}"/>
            </a:ext>
          </a:extLst>
        </xdr:cNvPr>
        <xdr:cNvSpPr txBox="1"/>
      </xdr:nvSpPr>
      <xdr:spPr>
        <a:xfrm>
          <a:off x="6225540" y="9372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30480</xdr:colOff>
      <xdr:row>3</xdr:row>
      <xdr:rowOff>167640</xdr:rowOff>
    </xdr:from>
    <xdr:to>
      <xdr:col>5</xdr:col>
      <xdr:colOff>91440</xdr:colOff>
      <xdr:row>7</xdr:row>
      <xdr:rowOff>45720</xdr:rowOff>
    </xdr:to>
    <xdr:sp macro="" textlink="">
      <xdr:nvSpPr>
        <xdr:cNvPr id="37" name="Flowchart: Connector 36">
          <a:extLst>
            <a:ext uri="{FF2B5EF4-FFF2-40B4-BE49-F238E27FC236}">
              <a16:creationId xmlns:a16="http://schemas.microsoft.com/office/drawing/2014/main" id="{B1456DE8-4A29-6080-C7A3-CBEFB1DE993C}"/>
            </a:ext>
          </a:extLst>
        </xdr:cNvPr>
        <xdr:cNvSpPr/>
      </xdr:nvSpPr>
      <xdr:spPr>
        <a:xfrm>
          <a:off x="2468880" y="754380"/>
          <a:ext cx="670560" cy="609600"/>
        </a:xfrm>
        <a:prstGeom prst="flowChartConnec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96253</xdr:colOff>
      <xdr:row>0</xdr:row>
      <xdr:rowOff>0</xdr:rowOff>
    </xdr:from>
    <xdr:to>
      <xdr:col>7</xdr:col>
      <xdr:colOff>505326</xdr:colOff>
      <xdr:row>2</xdr:row>
      <xdr:rowOff>40105</xdr:rowOff>
    </xdr:to>
    <xdr:pic>
      <xdr:nvPicPr>
        <xdr:cNvPr id="28" name="Graphic 27" descr="Bank with solid fill">
          <a:extLst>
            <a:ext uri="{FF2B5EF4-FFF2-40B4-BE49-F238E27FC236}">
              <a16:creationId xmlns:a16="http://schemas.microsoft.com/office/drawing/2014/main" id="{32BD0000-9F13-4485-9CE8-3DA23CFBE4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63453" y="0"/>
          <a:ext cx="409073" cy="409073"/>
        </a:xfrm>
        <a:prstGeom prst="rect">
          <a:avLst/>
        </a:prstGeom>
      </xdr:spPr>
    </xdr:pic>
    <xdr:clientData/>
  </xdr:twoCellAnchor>
  <xdr:twoCellAnchor>
    <xdr:from>
      <xdr:col>3</xdr:col>
      <xdr:colOff>415087</xdr:colOff>
      <xdr:row>3</xdr:row>
      <xdr:rowOff>70985</xdr:rowOff>
    </xdr:from>
    <xdr:to>
      <xdr:col>7</xdr:col>
      <xdr:colOff>504122</xdr:colOff>
      <xdr:row>8</xdr:row>
      <xdr:rowOff>62164</xdr:rowOff>
    </xdr:to>
    <xdr:grpSp>
      <xdr:nvGrpSpPr>
        <xdr:cNvPr id="55" name="Group 54">
          <a:extLst>
            <a:ext uri="{FF2B5EF4-FFF2-40B4-BE49-F238E27FC236}">
              <a16:creationId xmlns:a16="http://schemas.microsoft.com/office/drawing/2014/main" id="{7F3346C7-2EC8-3A0D-2233-AB4F68100914}"/>
            </a:ext>
          </a:extLst>
        </xdr:cNvPr>
        <xdr:cNvGrpSpPr/>
      </xdr:nvGrpSpPr>
      <xdr:grpSpPr>
        <a:xfrm>
          <a:off x="2243887" y="619625"/>
          <a:ext cx="2527435" cy="905579"/>
          <a:chOff x="2438400" y="526986"/>
          <a:chExt cx="2583180" cy="932046"/>
        </a:xfrm>
        <a:solidFill>
          <a:schemeClr val="accent2">
            <a:lumMod val="20000"/>
            <a:lumOff val="80000"/>
          </a:schemeClr>
        </a:solidFill>
      </xdr:grpSpPr>
      <xdr:sp macro="" textlink="">
        <xdr:nvSpPr>
          <xdr:cNvPr id="34" name="Rectangle 33">
            <a:extLst>
              <a:ext uri="{FF2B5EF4-FFF2-40B4-BE49-F238E27FC236}">
                <a16:creationId xmlns:a16="http://schemas.microsoft.com/office/drawing/2014/main" id="{56F7C9D1-CADF-AE79-FD4D-51B80861388B}"/>
              </a:ext>
            </a:extLst>
          </xdr:cNvPr>
          <xdr:cNvSpPr/>
        </xdr:nvSpPr>
        <xdr:spPr>
          <a:xfrm>
            <a:off x="2438400" y="526986"/>
            <a:ext cx="2583180" cy="93204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a:p>
        </xdr:txBody>
      </xdr:sp>
      <xdr:sp macro="" textlink="">
        <xdr:nvSpPr>
          <xdr:cNvPr id="35" name="TextBox 34">
            <a:extLst>
              <a:ext uri="{FF2B5EF4-FFF2-40B4-BE49-F238E27FC236}">
                <a16:creationId xmlns:a16="http://schemas.microsoft.com/office/drawing/2014/main" id="{33857861-607B-EB81-837E-59B77FE06487}"/>
              </a:ext>
            </a:extLst>
          </xdr:cNvPr>
          <xdr:cNvSpPr txBox="1"/>
        </xdr:nvSpPr>
        <xdr:spPr>
          <a:xfrm>
            <a:off x="3840078" y="684998"/>
            <a:ext cx="948271" cy="277528"/>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400" b="1"/>
              <a:t>Total</a:t>
            </a:r>
            <a:r>
              <a:rPr lang="en-US" sz="1200" b="0"/>
              <a:t> </a:t>
            </a:r>
            <a:r>
              <a:rPr lang="en-US" sz="1200" b="1"/>
              <a:t>Sales</a:t>
            </a:r>
          </a:p>
        </xdr:txBody>
      </xdr:sp>
      <xdr:sp macro="" textlink="#REF!">
        <xdr:nvSpPr>
          <xdr:cNvPr id="36" name="TextBox 35">
            <a:extLst>
              <a:ext uri="{FF2B5EF4-FFF2-40B4-BE49-F238E27FC236}">
                <a16:creationId xmlns:a16="http://schemas.microsoft.com/office/drawing/2014/main" id="{4B49ABBF-FE97-63C9-30AA-4EBBCD4351A2}"/>
              </a:ext>
            </a:extLst>
          </xdr:cNvPr>
          <xdr:cNvSpPr txBox="1"/>
        </xdr:nvSpPr>
        <xdr:spPr>
          <a:xfrm>
            <a:off x="3867207" y="1001490"/>
            <a:ext cx="1064514" cy="239428"/>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726D126E-DA9B-4751-B471-4DB6090C238B}" type="TxLink">
              <a:rPr lang="en-US" sz="1200" b="1" i="0" u="none" strike="noStrike">
                <a:solidFill>
                  <a:srgbClr val="000000"/>
                </a:solidFill>
                <a:latin typeface="Calibri"/>
                <a:ea typeface="Calibri"/>
                <a:cs typeface="Calibri"/>
              </a:rPr>
              <a:pPr algn="ctr"/>
              <a:t> $21,439.91 </a:t>
            </a:fld>
            <a:endParaRPr lang="en-US" sz="1200" b="1"/>
          </a:p>
        </xdr:txBody>
      </xdr:sp>
      <xdr:sp macro="" textlink="">
        <xdr:nvSpPr>
          <xdr:cNvPr id="8" name="Oval 7">
            <a:extLst>
              <a:ext uri="{FF2B5EF4-FFF2-40B4-BE49-F238E27FC236}">
                <a16:creationId xmlns:a16="http://schemas.microsoft.com/office/drawing/2014/main" id="{80D10F3E-9925-6C44-B812-7AE470827A1B}"/>
              </a:ext>
            </a:extLst>
          </xdr:cNvPr>
          <xdr:cNvSpPr/>
        </xdr:nvSpPr>
        <xdr:spPr>
          <a:xfrm>
            <a:off x="2881963" y="737937"/>
            <a:ext cx="689811" cy="561474"/>
          </a:xfrm>
          <a:prstGeom prst="ellipse">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US" sz="1100"/>
          </a:p>
        </xdr:txBody>
      </xdr:sp>
      <xdr:pic>
        <xdr:nvPicPr>
          <xdr:cNvPr id="10" name="Graphic 9" descr="Bar chart with solid fill">
            <a:extLst>
              <a:ext uri="{FF2B5EF4-FFF2-40B4-BE49-F238E27FC236}">
                <a16:creationId xmlns:a16="http://schemas.microsoft.com/office/drawing/2014/main" id="{F889D473-FFE5-5FA3-E2D8-8DA512F762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70194" y="786063"/>
            <a:ext cx="465221" cy="465221"/>
          </a:xfrm>
          <a:prstGeom prst="rect">
            <a:avLst/>
          </a:prstGeom>
        </xdr:spPr>
      </xdr:pic>
    </xdr:grpSp>
    <xdr:clientData/>
  </xdr:twoCellAnchor>
  <xdr:twoCellAnchor>
    <xdr:from>
      <xdr:col>13</xdr:col>
      <xdr:colOff>63768</xdr:colOff>
      <xdr:row>3</xdr:row>
      <xdr:rowOff>62568</xdr:rowOff>
    </xdr:from>
    <xdr:to>
      <xdr:col>17</xdr:col>
      <xdr:colOff>208548</xdr:colOff>
      <xdr:row>8</xdr:row>
      <xdr:rowOff>62568</xdr:rowOff>
    </xdr:to>
    <xdr:grpSp>
      <xdr:nvGrpSpPr>
        <xdr:cNvPr id="23" name="Group 22">
          <a:extLst>
            <a:ext uri="{FF2B5EF4-FFF2-40B4-BE49-F238E27FC236}">
              <a16:creationId xmlns:a16="http://schemas.microsoft.com/office/drawing/2014/main" id="{79F6BF00-291C-C221-60B8-5027D1DDB498}"/>
            </a:ext>
          </a:extLst>
        </xdr:cNvPr>
        <xdr:cNvGrpSpPr/>
      </xdr:nvGrpSpPr>
      <xdr:grpSpPr>
        <a:xfrm>
          <a:off x="7988568" y="611208"/>
          <a:ext cx="2583180" cy="914400"/>
          <a:chOff x="8157412" y="409076"/>
          <a:chExt cx="2583180" cy="922421"/>
        </a:xfrm>
      </xdr:grpSpPr>
      <xdr:grpSp>
        <xdr:nvGrpSpPr>
          <xdr:cNvPr id="44" name="Group 43">
            <a:extLst>
              <a:ext uri="{FF2B5EF4-FFF2-40B4-BE49-F238E27FC236}">
                <a16:creationId xmlns:a16="http://schemas.microsoft.com/office/drawing/2014/main" id="{DEAE4720-9E6D-4538-2804-A29842AA66AF}"/>
              </a:ext>
            </a:extLst>
          </xdr:cNvPr>
          <xdr:cNvGrpSpPr/>
        </xdr:nvGrpSpPr>
        <xdr:grpSpPr>
          <a:xfrm>
            <a:off x="8157412" y="409076"/>
            <a:ext cx="2583180" cy="922421"/>
            <a:chOff x="7725077" y="504909"/>
            <a:chExt cx="2583180" cy="930442"/>
          </a:xfrm>
        </xdr:grpSpPr>
        <xdr:sp macro="" textlink="#REF!">
          <xdr:nvSpPr>
            <xdr:cNvPr id="22" name="TextBox 21">
              <a:extLst>
                <a:ext uri="{FF2B5EF4-FFF2-40B4-BE49-F238E27FC236}">
                  <a16:creationId xmlns:a16="http://schemas.microsoft.com/office/drawing/2014/main" id="{9358BF11-1060-2F6F-1EAE-8BE8EF2EEF66}"/>
                </a:ext>
              </a:extLst>
            </xdr:cNvPr>
            <xdr:cNvSpPr txBox="1"/>
          </xdr:nvSpPr>
          <xdr:spPr>
            <a:xfrm>
              <a:off x="8919007" y="1087917"/>
              <a:ext cx="666953" cy="25159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a:t>99</a:t>
              </a:r>
            </a:p>
          </xdr:txBody>
        </xdr:sp>
        <xdr:sp macro="" textlink="">
          <xdr:nvSpPr>
            <xdr:cNvPr id="29" name="Rectangle 28">
              <a:extLst>
                <a:ext uri="{FF2B5EF4-FFF2-40B4-BE49-F238E27FC236}">
                  <a16:creationId xmlns:a16="http://schemas.microsoft.com/office/drawing/2014/main" id="{118F1EE7-A6CF-B329-9D7B-FECA4DAE69B4}"/>
                </a:ext>
              </a:extLst>
            </xdr:cNvPr>
            <xdr:cNvSpPr/>
          </xdr:nvSpPr>
          <xdr:spPr>
            <a:xfrm>
              <a:off x="7725077" y="504909"/>
              <a:ext cx="2583180" cy="93044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30C69163-9A89-CA82-D103-B9F1FED214FD}"/>
                </a:ext>
              </a:extLst>
            </xdr:cNvPr>
            <xdr:cNvSpPr txBox="1"/>
          </xdr:nvSpPr>
          <xdr:spPr>
            <a:xfrm>
              <a:off x="8789069" y="657447"/>
              <a:ext cx="1257300" cy="31282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200" b="1"/>
                <a:t>Total Quantity</a:t>
              </a:r>
            </a:p>
          </xdr:txBody>
        </xdr:sp>
        <xdr:sp macro="" textlink="">
          <xdr:nvSpPr>
            <xdr:cNvPr id="16" name="Oval 15">
              <a:extLst>
                <a:ext uri="{FF2B5EF4-FFF2-40B4-BE49-F238E27FC236}">
                  <a16:creationId xmlns:a16="http://schemas.microsoft.com/office/drawing/2014/main" id="{8C3118C8-73C4-ED70-954F-57C62C9CB989}"/>
                </a:ext>
              </a:extLst>
            </xdr:cNvPr>
            <xdr:cNvSpPr/>
          </xdr:nvSpPr>
          <xdr:spPr>
            <a:xfrm>
              <a:off x="7867848" y="717081"/>
              <a:ext cx="667353" cy="550244"/>
            </a:xfrm>
            <a:prstGeom prst="ellipse">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pic>
          <xdr:nvPicPr>
            <xdr:cNvPr id="20" name="Graphic 19" descr="Shopping cart with solid fill">
              <a:extLst>
                <a:ext uri="{FF2B5EF4-FFF2-40B4-BE49-F238E27FC236}">
                  <a16:creationId xmlns:a16="http://schemas.microsoft.com/office/drawing/2014/main" id="{17D1C2A8-1233-DA57-E256-1DDAC58BEBF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005011" y="778113"/>
              <a:ext cx="425114" cy="425114"/>
            </a:xfrm>
            <a:prstGeom prst="rect">
              <a:avLst/>
            </a:prstGeom>
          </xdr:spPr>
        </xdr:pic>
      </xdr:grpSp>
      <xdr:sp macro="" textlink="'statstical analysis'!$H$6">
        <xdr:nvSpPr>
          <xdr:cNvPr id="49" name="TextBox 48">
            <a:extLst>
              <a:ext uri="{FF2B5EF4-FFF2-40B4-BE49-F238E27FC236}">
                <a16:creationId xmlns:a16="http://schemas.microsoft.com/office/drawing/2014/main" id="{7155501A-EECF-CDF0-51C2-89368BDB7D64}"/>
              </a:ext>
            </a:extLst>
          </xdr:cNvPr>
          <xdr:cNvSpPr txBox="1"/>
        </xdr:nvSpPr>
        <xdr:spPr>
          <a:xfrm>
            <a:off x="9581547" y="803443"/>
            <a:ext cx="954505" cy="27271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F98784EA-829A-4371-AB1E-52D9609C8A69}" type="TxLink">
              <a:rPr lang="en-US" sz="1400" b="1" i="0" u="none" strike="noStrike">
                <a:solidFill>
                  <a:srgbClr val="000000"/>
                </a:solidFill>
                <a:latin typeface="Calibri"/>
                <a:ea typeface="Calibri"/>
                <a:cs typeface="Calibri"/>
              </a:rPr>
              <a:pPr algn="ctr"/>
              <a:t>367</a:t>
            </a:fld>
            <a:endParaRPr lang="en-US" sz="1400" b="1"/>
          </a:p>
        </xdr:txBody>
      </xdr:sp>
    </xdr:grpSp>
    <xdr:clientData/>
  </xdr:twoCellAnchor>
  <xdr:twoCellAnchor>
    <xdr:from>
      <xdr:col>0</xdr:col>
      <xdr:colOff>22860</xdr:colOff>
      <xdr:row>34</xdr:row>
      <xdr:rowOff>121519</xdr:rowOff>
    </xdr:from>
    <xdr:to>
      <xdr:col>23</xdr:col>
      <xdr:colOff>289560</xdr:colOff>
      <xdr:row>39</xdr:row>
      <xdr:rowOff>89437</xdr:rowOff>
    </xdr:to>
    <xdr:sp macro="" textlink="">
      <xdr:nvSpPr>
        <xdr:cNvPr id="31" name="Rectangle 30">
          <a:extLst>
            <a:ext uri="{FF2B5EF4-FFF2-40B4-BE49-F238E27FC236}">
              <a16:creationId xmlns:a16="http://schemas.microsoft.com/office/drawing/2014/main" id="{A2CA6EEE-3333-BCF9-3C4F-BB52C260C365}"/>
            </a:ext>
          </a:extLst>
        </xdr:cNvPr>
        <xdr:cNvSpPr/>
      </xdr:nvSpPr>
      <xdr:spPr>
        <a:xfrm>
          <a:off x="22860" y="6339439"/>
          <a:ext cx="14287500" cy="882318"/>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115100</xdr:colOff>
      <xdr:row>35</xdr:row>
      <xdr:rowOff>41309</xdr:rowOff>
    </xdr:from>
    <xdr:to>
      <xdr:col>4</xdr:col>
      <xdr:colOff>34890</xdr:colOff>
      <xdr:row>39</xdr:row>
      <xdr:rowOff>9225</xdr:rowOff>
    </xdr:to>
    <xdr:grpSp>
      <xdr:nvGrpSpPr>
        <xdr:cNvPr id="79" name="Group 78">
          <a:extLst>
            <a:ext uri="{FF2B5EF4-FFF2-40B4-BE49-F238E27FC236}">
              <a16:creationId xmlns:a16="http://schemas.microsoft.com/office/drawing/2014/main" id="{926D8D1D-BEA1-EE18-63EB-1B9113327D06}"/>
            </a:ext>
          </a:extLst>
        </xdr:cNvPr>
        <xdr:cNvGrpSpPr/>
      </xdr:nvGrpSpPr>
      <xdr:grpSpPr>
        <a:xfrm>
          <a:off x="115100" y="6442109"/>
          <a:ext cx="2358190" cy="699436"/>
          <a:chOff x="328306" y="5991726"/>
          <a:chExt cx="2194560" cy="705853"/>
        </a:xfrm>
        <a:solidFill>
          <a:schemeClr val="bg2">
            <a:lumMod val="90000"/>
          </a:schemeClr>
        </a:solidFill>
      </xdr:grpSpPr>
      <xdr:sp macro="" textlink="">
        <xdr:nvSpPr>
          <xdr:cNvPr id="46" name="Rectangle: Rounded Corners 45">
            <a:extLst>
              <a:ext uri="{FF2B5EF4-FFF2-40B4-BE49-F238E27FC236}">
                <a16:creationId xmlns:a16="http://schemas.microsoft.com/office/drawing/2014/main" id="{42404F50-1D7F-8104-B307-944F06149D5F}"/>
              </a:ext>
            </a:extLst>
          </xdr:cNvPr>
          <xdr:cNvSpPr/>
        </xdr:nvSpPr>
        <xdr:spPr>
          <a:xfrm>
            <a:off x="328306" y="5991726"/>
            <a:ext cx="2194560" cy="70585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TextBox 66">
            <a:extLst>
              <a:ext uri="{FF2B5EF4-FFF2-40B4-BE49-F238E27FC236}">
                <a16:creationId xmlns:a16="http://schemas.microsoft.com/office/drawing/2014/main" id="{BD57957B-E007-04BE-CDC6-5F9FD9B4FF65}"/>
              </a:ext>
            </a:extLst>
          </xdr:cNvPr>
          <xdr:cNvSpPr txBox="1"/>
        </xdr:nvSpPr>
        <xdr:spPr>
          <a:xfrm>
            <a:off x="934795" y="6063916"/>
            <a:ext cx="1520891" cy="54543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West</a:t>
            </a:r>
            <a:r>
              <a:rPr lang="en-US" sz="1000" b="1" baseline="0"/>
              <a:t> Region</a:t>
            </a:r>
          </a:p>
          <a:p>
            <a:r>
              <a:rPr lang="en-US" sz="1000" baseline="0">
                <a:solidFill>
                  <a:schemeClr val="tx1"/>
                </a:solidFill>
              </a:rPr>
              <a:t>generated the highest sales </a:t>
            </a:r>
          </a:p>
        </xdr:txBody>
      </xdr:sp>
    </xdr:grpSp>
    <xdr:clientData/>
  </xdr:twoCellAnchor>
  <xdr:twoCellAnchor>
    <xdr:from>
      <xdr:col>4</xdr:col>
      <xdr:colOff>118713</xdr:colOff>
      <xdr:row>35</xdr:row>
      <xdr:rowOff>62966</xdr:rowOff>
    </xdr:from>
    <xdr:to>
      <xdr:col>7</xdr:col>
      <xdr:colOff>575913</xdr:colOff>
      <xdr:row>39</xdr:row>
      <xdr:rowOff>30882</xdr:rowOff>
    </xdr:to>
    <xdr:grpSp>
      <xdr:nvGrpSpPr>
        <xdr:cNvPr id="78" name="Group 77">
          <a:extLst>
            <a:ext uri="{FF2B5EF4-FFF2-40B4-BE49-F238E27FC236}">
              <a16:creationId xmlns:a16="http://schemas.microsoft.com/office/drawing/2014/main" id="{42424A30-05A6-742D-308E-7134D16E18B5}"/>
            </a:ext>
          </a:extLst>
        </xdr:cNvPr>
        <xdr:cNvGrpSpPr/>
      </xdr:nvGrpSpPr>
      <xdr:grpSpPr>
        <a:xfrm>
          <a:off x="2557113" y="6463766"/>
          <a:ext cx="2286000" cy="699436"/>
          <a:chOff x="2362619" y="6014795"/>
          <a:chExt cx="2194560" cy="705853"/>
        </a:xfrm>
        <a:solidFill>
          <a:schemeClr val="bg2">
            <a:lumMod val="90000"/>
          </a:schemeClr>
        </a:solidFill>
      </xdr:grpSpPr>
      <xdr:sp macro="" textlink="">
        <xdr:nvSpPr>
          <xdr:cNvPr id="51" name="Rectangle: Rounded Corners 50">
            <a:extLst>
              <a:ext uri="{FF2B5EF4-FFF2-40B4-BE49-F238E27FC236}">
                <a16:creationId xmlns:a16="http://schemas.microsoft.com/office/drawing/2014/main" id="{8949B8E4-85A1-44F6-AAB2-D5878108C8EB}"/>
              </a:ext>
            </a:extLst>
          </xdr:cNvPr>
          <xdr:cNvSpPr/>
        </xdr:nvSpPr>
        <xdr:spPr>
          <a:xfrm>
            <a:off x="2362619" y="6014795"/>
            <a:ext cx="2194560" cy="70585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FFF19DFD-8FE5-AFB4-A24E-A78C5804629A}"/>
              </a:ext>
            </a:extLst>
          </xdr:cNvPr>
          <xdr:cNvSpPr txBox="1"/>
        </xdr:nvSpPr>
        <xdr:spPr>
          <a:xfrm>
            <a:off x="3069498" y="6126429"/>
            <a:ext cx="1366403" cy="4630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1"/>
                </a:solidFill>
              </a:rPr>
              <a:t>Furniture contributes</a:t>
            </a:r>
            <a:r>
              <a:rPr lang="en-US" sz="1050" b="1" baseline="0">
                <a:solidFill>
                  <a:schemeClr val="tx1"/>
                </a:solidFill>
              </a:rPr>
              <a:t> </a:t>
            </a:r>
            <a:r>
              <a:rPr lang="en-US" sz="1050" baseline="0">
                <a:solidFill>
                  <a:schemeClr val="tx1"/>
                </a:solidFill>
              </a:rPr>
              <a:t>52%of total sizes</a:t>
            </a:r>
            <a:endParaRPr lang="en-US" sz="1050">
              <a:solidFill>
                <a:schemeClr val="tx1"/>
              </a:solidFill>
            </a:endParaRPr>
          </a:p>
        </xdr:txBody>
      </xdr:sp>
    </xdr:grpSp>
    <xdr:clientData/>
  </xdr:twoCellAnchor>
  <xdr:twoCellAnchor>
    <xdr:from>
      <xdr:col>8</xdr:col>
      <xdr:colOff>60561</xdr:colOff>
      <xdr:row>35</xdr:row>
      <xdr:rowOff>93445</xdr:rowOff>
    </xdr:from>
    <xdr:to>
      <xdr:col>11</xdr:col>
      <xdr:colOff>517761</xdr:colOff>
      <xdr:row>39</xdr:row>
      <xdr:rowOff>61361</xdr:rowOff>
    </xdr:to>
    <xdr:grpSp>
      <xdr:nvGrpSpPr>
        <xdr:cNvPr id="77" name="Group 76">
          <a:extLst>
            <a:ext uri="{FF2B5EF4-FFF2-40B4-BE49-F238E27FC236}">
              <a16:creationId xmlns:a16="http://schemas.microsoft.com/office/drawing/2014/main" id="{FB04D3E9-95A6-4291-FB4F-125D654F0B77}"/>
            </a:ext>
          </a:extLst>
        </xdr:cNvPr>
        <xdr:cNvGrpSpPr/>
      </xdr:nvGrpSpPr>
      <xdr:grpSpPr>
        <a:xfrm>
          <a:off x="4937361" y="6494245"/>
          <a:ext cx="2286000" cy="699436"/>
          <a:chOff x="4131934" y="6038197"/>
          <a:chExt cx="2194560" cy="705853"/>
        </a:xfrm>
        <a:solidFill>
          <a:schemeClr val="bg2">
            <a:lumMod val="90000"/>
          </a:schemeClr>
        </a:solidFill>
      </xdr:grpSpPr>
      <xdr:sp macro="" textlink="">
        <xdr:nvSpPr>
          <xdr:cNvPr id="53" name="Rectangle: Rounded Corners 52">
            <a:extLst>
              <a:ext uri="{FF2B5EF4-FFF2-40B4-BE49-F238E27FC236}">
                <a16:creationId xmlns:a16="http://schemas.microsoft.com/office/drawing/2014/main" id="{86D0AD11-9ACE-425B-8AF9-8ECD76DF01F7}"/>
              </a:ext>
            </a:extLst>
          </xdr:cNvPr>
          <xdr:cNvSpPr/>
        </xdr:nvSpPr>
        <xdr:spPr>
          <a:xfrm>
            <a:off x="4131934" y="6038197"/>
            <a:ext cx="2194560" cy="70585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TextBox 69">
            <a:extLst>
              <a:ext uri="{FF2B5EF4-FFF2-40B4-BE49-F238E27FC236}">
                <a16:creationId xmlns:a16="http://schemas.microsoft.com/office/drawing/2014/main" id="{E7897DEB-989E-466E-A66F-4705540A94FF}"/>
              </a:ext>
            </a:extLst>
          </xdr:cNvPr>
          <xdr:cNvSpPr txBox="1"/>
        </xdr:nvSpPr>
        <xdr:spPr>
          <a:xfrm>
            <a:off x="4846512" y="6141476"/>
            <a:ext cx="1414529" cy="49451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Consumer</a:t>
            </a:r>
            <a:r>
              <a:rPr lang="en-US" sz="1000" b="1" baseline="0">
                <a:solidFill>
                  <a:schemeClr val="tx1"/>
                </a:solidFill>
              </a:rPr>
              <a:t> segment </a:t>
            </a:r>
            <a:r>
              <a:rPr lang="en-US" sz="900" baseline="0">
                <a:solidFill>
                  <a:schemeClr val="tx1"/>
                </a:solidFill>
              </a:rPr>
              <a:t>contributes</a:t>
            </a:r>
            <a:r>
              <a:rPr lang="en-US" sz="1100" baseline="0">
                <a:solidFill>
                  <a:schemeClr val="tx1"/>
                </a:solidFill>
              </a:rPr>
              <a:t> 68% in sales</a:t>
            </a:r>
            <a:r>
              <a:rPr lang="en-US" sz="900" baseline="0">
                <a:solidFill>
                  <a:schemeClr val="tx1"/>
                </a:solidFill>
              </a:rPr>
              <a:t> </a:t>
            </a:r>
            <a:endParaRPr lang="en-US" sz="900">
              <a:solidFill>
                <a:schemeClr val="tx1"/>
              </a:solidFill>
            </a:endParaRPr>
          </a:p>
        </xdr:txBody>
      </xdr:sp>
    </xdr:grpSp>
    <xdr:clientData/>
  </xdr:twoCellAnchor>
  <xdr:twoCellAnchor>
    <xdr:from>
      <xdr:col>12</xdr:col>
      <xdr:colOff>114700</xdr:colOff>
      <xdr:row>35</xdr:row>
      <xdr:rowOff>83820</xdr:rowOff>
    </xdr:from>
    <xdr:to>
      <xdr:col>15</xdr:col>
      <xdr:colOff>571900</xdr:colOff>
      <xdr:row>39</xdr:row>
      <xdr:rowOff>40105</xdr:rowOff>
    </xdr:to>
    <xdr:grpSp>
      <xdr:nvGrpSpPr>
        <xdr:cNvPr id="75" name="Group 74">
          <a:extLst>
            <a:ext uri="{FF2B5EF4-FFF2-40B4-BE49-F238E27FC236}">
              <a16:creationId xmlns:a16="http://schemas.microsoft.com/office/drawing/2014/main" id="{28D8AFC1-F915-CF7B-0619-5E066E719F3F}"/>
            </a:ext>
          </a:extLst>
        </xdr:cNvPr>
        <xdr:cNvGrpSpPr/>
      </xdr:nvGrpSpPr>
      <xdr:grpSpPr>
        <a:xfrm>
          <a:off x="7429900" y="6484620"/>
          <a:ext cx="2286000" cy="687805"/>
          <a:chOff x="6785810" y="6023809"/>
          <a:chExt cx="2189748" cy="705853"/>
        </a:xfrm>
        <a:solidFill>
          <a:schemeClr val="bg2">
            <a:lumMod val="90000"/>
          </a:schemeClr>
        </a:solidFill>
      </xdr:grpSpPr>
      <xdr:sp macro="" textlink="">
        <xdr:nvSpPr>
          <xdr:cNvPr id="56" name="Rectangle: Rounded Corners 55">
            <a:extLst>
              <a:ext uri="{FF2B5EF4-FFF2-40B4-BE49-F238E27FC236}">
                <a16:creationId xmlns:a16="http://schemas.microsoft.com/office/drawing/2014/main" id="{8DEB8AF2-E8B8-4D1F-A919-CAB7908505D0}"/>
              </a:ext>
            </a:extLst>
          </xdr:cNvPr>
          <xdr:cNvSpPr/>
        </xdr:nvSpPr>
        <xdr:spPr>
          <a:xfrm>
            <a:off x="6785810" y="6023809"/>
            <a:ext cx="2189748" cy="70585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7691FD76-B215-4753-BA3F-4A30BA5DDAED}"/>
              </a:ext>
            </a:extLst>
          </xdr:cNvPr>
          <xdr:cNvSpPr txBox="1"/>
        </xdr:nvSpPr>
        <xdr:spPr>
          <a:xfrm>
            <a:off x="7350157" y="6104021"/>
            <a:ext cx="1471737" cy="5374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Los Angeles</a:t>
            </a:r>
            <a:r>
              <a:rPr lang="en-US" sz="1000" b="1" baseline="0">
                <a:solidFill>
                  <a:schemeClr val="tx1"/>
                </a:solidFill>
              </a:rPr>
              <a:t> </a:t>
            </a:r>
          </a:p>
          <a:p>
            <a:r>
              <a:rPr lang="en-US" sz="1000" baseline="0">
                <a:solidFill>
                  <a:schemeClr val="tx1"/>
                </a:solidFill>
              </a:rPr>
              <a:t>is the top-selling city</a:t>
            </a:r>
            <a:endParaRPr lang="en-US" sz="1000">
              <a:solidFill>
                <a:schemeClr val="tx1"/>
              </a:solidFill>
            </a:endParaRPr>
          </a:p>
        </xdr:txBody>
      </xdr:sp>
    </xdr:grpSp>
    <xdr:clientData/>
  </xdr:twoCellAnchor>
  <xdr:twoCellAnchor>
    <xdr:from>
      <xdr:col>16</xdr:col>
      <xdr:colOff>97055</xdr:colOff>
      <xdr:row>35</xdr:row>
      <xdr:rowOff>63366</xdr:rowOff>
    </xdr:from>
    <xdr:to>
      <xdr:col>19</xdr:col>
      <xdr:colOff>462815</xdr:colOff>
      <xdr:row>39</xdr:row>
      <xdr:rowOff>31282</xdr:rowOff>
    </xdr:to>
    <xdr:grpSp>
      <xdr:nvGrpSpPr>
        <xdr:cNvPr id="80" name="Group 79">
          <a:extLst>
            <a:ext uri="{FF2B5EF4-FFF2-40B4-BE49-F238E27FC236}">
              <a16:creationId xmlns:a16="http://schemas.microsoft.com/office/drawing/2014/main" id="{7110192B-CBCF-902A-E5CE-E8F3301E6980}"/>
            </a:ext>
          </a:extLst>
        </xdr:cNvPr>
        <xdr:cNvGrpSpPr/>
      </xdr:nvGrpSpPr>
      <xdr:grpSpPr>
        <a:xfrm>
          <a:off x="9850655" y="6464166"/>
          <a:ext cx="2194560" cy="699436"/>
          <a:chOff x="10274967" y="5999085"/>
          <a:chExt cx="2194560" cy="705853"/>
        </a:xfrm>
        <a:solidFill>
          <a:schemeClr val="bg2">
            <a:lumMod val="90000"/>
          </a:schemeClr>
        </a:solidFill>
      </xdr:grpSpPr>
      <xdr:sp macro="" textlink="">
        <xdr:nvSpPr>
          <xdr:cNvPr id="64" name="Rectangle: Rounded Corners 63">
            <a:extLst>
              <a:ext uri="{FF2B5EF4-FFF2-40B4-BE49-F238E27FC236}">
                <a16:creationId xmlns:a16="http://schemas.microsoft.com/office/drawing/2014/main" id="{04121EC2-FCBA-48B9-A11F-D6FF4263F4C9}"/>
              </a:ext>
            </a:extLst>
          </xdr:cNvPr>
          <xdr:cNvSpPr/>
        </xdr:nvSpPr>
        <xdr:spPr>
          <a:xfrm>
            <a:off x="10274967" y="5999085"/>
            <a:ext cx="2194560" cy="70585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TextBox 72">
            <a:extLst>
              <a:ext uri="{FF2B5EF4-FFF2-40B4-BE49-F238E27FC236}">
                <a16:creationId xmlns:a16="http://schemas.microsoft.com/office/drawing/2014/main" id="{055F001D-7718-722F-25FA-A1BE1F02D3E5}"/>
              </a:ext>
            </a:extLst>
          </xdr:cNvPr>
          <xdr:cNvSpPr txBox="1"/>
        </xdr:nvSpPr>
        <xdr:spPr>
          <a:xfrm>
            <a:off x="10981622" y="6095338"/>
            <a:ext cx="1403685" cy="56949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Office Supplies </a:t>
            </a:r>
            <a:r>
              <a:rPr lang="en-US" sz="1000">
                <a:solidFill>
                  <a:schemeClr val="tx1"/>
                </a:solidFill>
              </a:rPr>
              <a:t>has the higher</a:t>
            </a:r>
            <a:r>
              <a:rPr lang="en-US" sz="1000" baseline="0">
                <a:solidFill>
                  <a:schemeClr val="tx1"/>
                </a:solidFill>
              </a:rPr>
              <a:t> quantity sold</a:t>
            </a:r>
            <a:endParaRPr lang="en-US" sz="1000">
              <a:solidFill>
                <a:schemeClr val="tx1"/>
              </a:solidFill>
            </a:endParaRPr>
          </a:p>
        </xdr:txBody>
      </xdr:sp>
    </xdr:grpSp>
    <xdr:clientData/>
  </xdr:twoCellAnchor>
  <xdr:twoCellAnchor>
    <xdr:from>
      <xdr:col>19</xdr:col>
      <xdr:colOff>503723</xdr:colOff>
      <xdr:row>35</xdr:row>
      <xdr:rowOff>62966</xdr:rowOff>
    </xdr:from>
    <xdr:to>
      <xdr:col>23</xdr:col>
      <xdr:colOff>91440</xdr:colOff>
      <xdr:row>39</xdr:row>
      <xdr:rowOff>30882</xdr:rowOff>
    </xdr:to>
    <xdr:grpSp>
      <xdr:nvGrpSpPr>
        <xdr:cNvPr id="81" name="Group 80">
          <a:extLst>
            <a:ext uri="{FF2B5EF4-FFF2-40B4-BE49-F238E27FC236}">
              <a16:creationId xmlns:a16="http://schemas.microsoft.com/office/drawing/2014/main" id="{6A6DDED2-986E-5AAB-CA56-CB0F5F0DD5E4}"/>
            </a:ext>
          </a:extLst>
        </xdr:cNvPr>
        <xdr:cNvGrpSpPr/>
      </xdr:nvGrpSpPr>
      <xdr:grpSpPr>
        <a:xfrm>
          <a:off x="12086123" y="6463766"/>
          <a:ext cx="2026117" cy="699436"/>
          <a:chOff x="12003788" y="6054902"/>
          <a:chExt cx="2194560" cy="705853"/>
        </a:xfrm>
        <a:solidFill>
          <a:schemeClr val="bg2">
            <a:lumMod val="90000"/>
          </a:schemeClr>
        </a:solidFill>
      </xdr:grpSpPr>
      <xdr:sp macro="" textlink="">
        <xdr:nvSpPr>
          <xdr:cNvPr id="66" name="Rectangle: Rounded Corners 65">
            <a:extLst>
              <a:ext uri="{FF2B5EF4-FFF2-40B4-BE49-F238E27FC236}">
                <a16:creationId xmlns:a16="http://schemas.microsoft.com/office/drawing/2014/main" id="{BED761CE-379B-43F8-AFFA-C0AC55BACE0E}"/>
              </a:ext>
            </a:extLst>
          </xdr:cNvPr>
          <xdr:cNvSpPr/>
        </xdr:nvSpPr>
        <xdr:spPr>
          <a:xfrm>
            <a:off x="12003788" y="6054902"/>
            <a:ext cx="2194560" cy="70585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CDAC7B0C-193A-6C23-F04F-234969DC78C7}"/>
              </a:ext>
            </a:extLst>
          </xdr:cNvPr>
          <xdr:cNvSpPr txBox="1"/>
        </xdr:nvSpPr>
        <xdr:spPr>
          <a:xfrm>
            <a:off x="12662025" y="6150161"/>
            <a:ext cx="1396015" cy="5454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1"/>
                </a:solidFill>
              </a:rPr>
              <a:t>State California </a:t>
            </a:r>
            <a:r>
              <a:rPr lang="en-US" sz="1100">
                <a:solidFill>
                  <a:schemeClr val="tx1"/>
                </a:solidFill>
              </a:rPr>
              <a:t>has</a:t>
            </a:r>
            <a:r>
              <a:rPr lang="en-US" sz="1100" baseline="0">
                <a:solidFill>
                  <a:schemeClr val="tx1"/>
                </a:solidFill>
              </a:rPr>
              <a:t> the highest sales</a:t>
            </a:r>
          </a:p>
          <a:p>
            <a:endParaRPr lang="en-US" sz="1100"/>
          </a:p>
        </xdr:txBody>
      </xdr:sp>
    </xdr:grpSp>
    <xdr:clientData/>
  </xdr:twoCellAnchor>
  <xdr:twoCellAnchor editAs="oneCell">
    <xdr:from>
      <xdr:col>0</xdr:col>
      <xdr:colOff>215365</xdr:colOff>
      <xdr:row>35</xdr:row>
      <xdr:rowOff>66174</xdr:rowOff>
    </xdr:from>
    <xdr:to>
      <xdr:col>1</xdr:col>
      <xdr:colOff>199323</xdr:colOff>
      <xdr:row>38</xdr:row>
      <xdr:rowOff>106279</xdr:rowOff>
    </xdr:to>
    <xdr:pic>
      <xdr:nvPicPr>
        <xdr:cNvPr id="84" name="Graphic 83" descr="Earth globe: Americas with solid fill">
          <a:extLst>
            <a:ext uri="{FF2B5EF4-FFF2-40B4-BE49-F238E27FC236}">
              <a16:creationId xmlns:a16="http://schemas.microsoft.com/office/drawing/2014/main" id="{CB4C74F6-F24F-F36F-1A84-E692C3C84F4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5365" y="6466974"/>
          <a:ext cx="593558" cy="588745"/>
        </a:xfrm>
        <a:prstGeom prst="rect">
          <a:avLst/>
        </a:prstGeom>
      </xdr:spPr>
    </xdr:pic>
    <xdr:clientData/>
  </xdr:twoCellAnchor>
  <xdr:twoCellAnchor editAs="oneCell">
    <xdr:from>
      <xdr:col>12</xdr:col>
      <xdr:colOff>277931</xdr:colOff>
      <xdr:row>35</xdr:row>
      <xdr:rowOff>134755</xdr:rowOff>
    </xdr:from>
    <xdr:to>
      <xdr:col>13</xdr:col>
      <xdr:colOff>189699</xdr:colOff>
      <xdr:row>38</xdr:row>
      <xdr:rowOff>102670</xdr:rowOff>
    </xdr:to>
    <xdr:pic>
      <xdr:nvPicPr>
        <xdr:cNvPr id="86" name="Graphic 85" descr="Tropical scene with solid fill">
          <a:extLst>
            <a:ext uri="{FF2B5EF4-FFF2-40B4-BE49-F238E27FC236}">
              <a16:creationId xmlns:a16="http://schemas.microsoft.com/office/drawing/2014/main" id="{C48D9BE1-7FA6-2DDD-1744-3925EFC672A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593131" y="6535555"/>
          <a:ext cx="521368" cy="516555"/>
        </a:xfrm>
        <a:prstGeom prst="rect">
          <a:avLst/>
        </a:prstGeom>
      </xdr:spPr>
    </xdr:pic>
    <xdr:clientData/>
  </xdr:twoCellAnchor>
  <xdr:twoCellAnchor editAs="oneCell">
    <xdr:from>
      <xdr:col>4</xdr:col>
      <xdr:colOff>229004</xdr:colOff>
      <xdr:row>35</xdr:row>
      <xdr:rowOff>38902</xdr:rowOff>
    </xdr:from>
    <xdr:to>
      <xdr:col>5</xdr:col>
      <xdr:colOff>317233</xdr:colOff>
      <xdr:row>38</xdr:row>
      <xdr:rowOff>181674</xdr:rowOff>
    </xdr:to>
    <xdr:pic>
      <xdr:nvPicPr>
        <xdr:cNvPr id="88" name="Graphic 87">
          <a:extLst>
            <a:ext uri="{FF2B5EF4-FFF2-40B4-BE49-F238E27FC236}">
              <a16:creationId xmlns:a16="http://schemas.microsoft.com/office/drawing/2014/main" id="{0B80743B-969F-BA85-D272-D5B6624E39E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667404" y="6439702"/>
          <a:ext cx="697829" cy="691412"/>
        </a:xfrm>
        <a:prstGeom prst="rect">
          <a:avLst/>
        </a:prstGeom>
      </xdr:spPr>
    </xdr:pic>
    <xdr:clientData/>
  </xdr:twoCellAnchor>
  <xdr:twoCellAnchor editAs="oneCell">
    <xdr:from>
      <xdr:col>16</xdr:col>
      <xdr:colOff>219791</xdr:colOff>
      <xdr:row>35</xdr:row>
      <xdr:rowOff>147599</xdr:rowOff>
    </xdr:from>
    <xdr:to>
      <xdr:col>17</xdr:col>
      <xdr:colOff>120317</xdr:colOff>
      <xdr:row>38</xdr:row>
      <xdr:rowOff>104272</xdr:rowOff>
    </xdr:to>
    <xdr:pic>
      <xdr:nvPicPr>
        <xdr:cNvPr id="94" name="Graphic 93">
          <a:extLst>
            <a:ext uri="{FF2B5EF4-FFF2-40B4-BE49-F238E27FC236}">
              <a16:creationId xmlns:a16="http://schemas.microsoft.com/office/drawing/2014/main" id="{FC013FE7-5FFB-4E30-5BE4-E4962723C53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973391" y="6548399"/>
          <a:ext cx="510126" cy="505313"/>
        </a:xfrm>
        <a:prstGeom prst="rect">
          <a:avLst/>
        </a:prstGeom>
      </xdr:spPr>
    </xdr:pic>
    <xdr:clientData/>
  </xdr:twoCellAnchor>
  <xdr:twoCellAnchor>
    <xdr:from>
      <xdr:col>17</xdr:col>
      <xdr:colOff>502519</xdr:colOff>
      <xdr:row>3</xdr:row>
      <xdr:rowOff>32886</xdr:rowOff>
    </xdr:from>
    <xdr:to>
      <xdr:col>22</xdr:col>
      <xdr:colOff>37699</xdr:colOff>
      <xdr:row>8</xdr:row>
      <xdr:rowOff>32886</xdr:rowOff>
    </xdr:to>
    <xdr:grpSp>
      <xdr:nvGrpSpPr>
        <xdr:cNvPr id="9" name="Group 8">
          <a:extLst>
            <a:ext uri="{FF2B5EF4-FFF2-40B4-BE49-F238E27FC236}">
              <a16:creationId xmlns:a16="http://schemas.microsoft.com/office/drawing/2014/main" id="{8F1AE77B-BBCF-F103-5B6D-F766D8230606}"/>
            </a:ext>
          </a:extLst>
        </xdr:cNvPr>
        <xdr:cNvGrpSpPr/>
      </xdr:nvGrpSpPr>
      <xdr:grpSpPr>
        <a:xfrm>
          <a:off x="10865719" y="581526"/>
          <a:ext cx="2583180" cy="914400"/>
          <a:chOff x="10728559" y="421506"/>
          <a:chExt cx="2583180" cy="914400"/>
        </a:xfrm>
      </xdr:grpSpPr>
      <xdr:grpSp>
        <xdr:nvGrpSpPr>
          <xdr:cNvPr id="43" name="Group 42">
            <a:extLst>
              <a:ext uri="{FF2B5EF4-FFF2-40B4-BE49-F238E27FC236}">
                <a16:creationId xmlns:a16="http://schemas.microsoft.com/office/drawing/2014/main" id="{CDF79A6B-BE90-CFAA-51E4-9E05A38A4E41}"/>
              </a:ext>
            </a:extLst>
          </xdr:cNvPr>
          <xdr:cNvGrpSpPr/>
        </xdr:nvGrpSpPr>
        <xdr:grpSpPr>
          <a:xfrm>
            <a:off x="10728559" y="421506"/>
            <a:ext cx="2583180" cy="914400"/>
            <a:chOff x="10366810" y="521438"/>
            <a:chExt cx="2583180" cy="930442"/>
          </a:xfrm>
        </xdr:grpSpPr>
        <xdr:sp macro="" textlink="">
          <xdr:nvSpPr>
            <xdr:cNvPr id="7" name="Rectangle 6">
              <a:extLst>
                <a:ext uri="{FF2B5EF4-FFF2-40B4-BE49-F238E27FC236}">
                  <a16:creationId xmlns:a16="http://schemas.microsoft.com/office/drawing/2014/main" id="{86F0C314-F890-D362-B33F-661C9161D0E4}"/>
                </a:ext>
              </a:extLst>
            </xdr:cNvPr>
            <xdr:cNvSpPr/>
          </xdr:nvSpPr>
          <xdr:spPr>
            <a:xfrm>
              <a:off x="10366810" y="521438"/>
              <a:ext cx="2583180" cy="930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458FD515-951F-EC20-AA7F-B00E0476E5BC}"/>
                </a:ext>
              </a:extLst>
            </xdr:cNvPr>
            <xdr:cNvSpPr txBox="1"/>
          </xdr:nvSpPr>
          <xdr:spPr>
            <a:xfrm>
              <a:off x="11165305" y="653717"/>
              <a:ext cx="1231230" cy="27592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r>
                <a:rPr lang="en-US" sz="1200" b="1"/>
                <a:t>Avg</a:t>
              </a:r>
              <a:r>
                <a:rPr lang="en-US" sz="1200" baseline="0"/>
                <a:t> </a:t>
              </a:r>
              <a:r>
                <a:rPr lang="en-US" sz="1200" b="1" baseline="0"/>
                <a:t>Discount</a:t>
              </a:r>
              <a:endParaRPr lang="en-US" sz="1200" b="1"/>
            </a:p>
          </xdr:txBody>
        </xdr:sp>
        <xdr:sp macro="" textlink="">
          <xdr:nvSpPr>
            <xdr:cNvPr id="39" name="Oval 38">
              <a:extLst>
                <a:ext uri="{FF2B5EF4-FFF2-40B4-BE49-F238E27FC236}">
                  <a16:creationId xmlns:a16="http://schemas.microsoft.com/office/drawing/2014/main" id="{DF8DBD44-98F9-43BB-05F3-745188A1A6BF}"/>
                </a:ext>
              </a:extLst>
            </xdr:cNvPr>
            <xdr:cNvSpPr/>
          </xdr:nvSpPr>
          <xdr:spPr>
            <a:xfrm>
              <a:off x="10451431" y="753980"/>
              <a:ext cx="589547" cy="511812"/>
            </a:xfrm>
            <a:prstGeom prst="ellipse">
              <a:avLst/>
            </a:prstGeom>
            <a:solidFill>
              <a:schemeClr val="tx1">
                <a:lumMod val="75000"/>
                <a:lumOff val="2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statstical analysis'!F6">
          <xdr:nvSpPr>
            <xdr:cNvPr id="42" name="TextBox 41">
              <a:extLst>
                <a:ext uri="{FF2B5EF4-FFF2-40B4-BE49-F238E27FC236}">
                  <a16:creationId xmlns:a16="http://schemas.microsoft.com/office/drawing/2014/main" id="{F35FF77B-6FF4-C288-9901-624E8275B90B}"/>
                </a:ext>
              </a:extLst>
            </xdr:cNvPr>
            <xdr:cNvSpPr txBox="1"/>
          </xdr:nvSpPr>
          <xdr:spPr>
            <a:xfrm>
              <a:off x="11415416" y="939299"/>
              <a:ext cx="1170965" cy="23782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3F0A5995-E1F0-4E37-B4ED-FE1FE05996A0}" type="TxLink">
                <a:rPr lang="en-US" sz="1400" b="1" i="0" u="none" strike="noStrike">
                  <a:solidFill>
                    <a:srgbClr val="000000"/>
                  </a:solidFill>
                  <a:latin typeface="Calibri"/>
                  <a:ea typeface="Calibri"/>
                  <a:cs typeface="Calibri"/>
                </a:rPr>
                <a:pPr algn="ctr"/>
                <a:t>16%</a:t>
              </a:fld>
              <a:endParaRPr lang="en-US" sz="1400" b="1"/>
            </a:p>
          </xdr:txBody>
        </xdr:sp>
      </xdr:grpSp>
      <xdr:pic>
        <xdr:nvPicPr>
          <xdr:cNvPr id="96" name="Graphic 95">
            <a:extLst>
              <a:ext uri="{FF2B5EF4-FFF2-40B4-BE49-F238E27FC236}">
                <a16:creationId xmlns:a16="http://schemas.microsoft.com/office/drawing/2014/main" id="{DDD15432-C0B8-C38D-333F-FAEFFC5E310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896218" y="724719"/>
            <a:ext cx="424295" cy="419483"/>
          </a:xfrm>
          <a:prstGeom prst="rect">
            <a:avLst/>
          </a:prstGeom>
        </xdr:spPr>
      </xdr:pic>
    </xdr:grpSp>
    <xdr:clientData/>
  </xdr:twoCellAnchor>
  <xdr:twoCellAnchor editAs="oneCell">
    <xdr:from>
      <xdr:col>8</xdr:col>
      <xdr:colOff>156010</xdr:colOff>
      <xdr:row>35</xdr:row>
      <xdr:rowOff>31684</xdr:rowOff>
    </xdr:from>
    <xdr:to>
      <xdr:col>9</xdr:col>
      <xdr:colOff>284346</xdr:colOff>
      <xdr:row>39</xdr:row>
      <xdr:rowOff>31683</xdr:rowOff>
    </xdr:to>
    <xdr:pic>
      <xdr:nvPicPr>
        <xdr:cNvPr id="100" name="Graphic 99">
          <a:extLst>
            <a:ext uri="{FF2B5EF4-FFF2-40B4-BE49-F238E27FC236}">
              <a16:creationId xmlns:a16="http://schemas.microsoft.com/office/drawing/2014/main" id="{03D91F4E-BF91-C3EC-5799-D37F1DA2DDB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flipH="1">
          <a:off x="5032810" y="6432484"/>
          <a:ext cx="737936" cy="731519"/>
        </a:xfrm>
        <a:prstGeom prst="rect">
          <a:avLst/>
        </a:prstGeom>
      </xdr:spPr>
    </xdr:pic>
    <xdr:clientData/>
  </xdr:twoCellAnchor>
  <xdr:twoCellAnchor editAs="oneCell">
    <xdr:from>
      <xdr:col>19</xdr:col>
      <xdr:colOff>607194</xdr:colOff>
      <xdr:row>35</xdr:row>
      <xdr:rowOff>174459</xdr:rowOff>
    </xdr:from>
    <xdr:to>
      <xdr:col>20</xdr:col>
      <xdr:colOff>422710</xdr:colOff>
      <xdr:row>38</xdr:row>
      <xdr:rowOff>46122</xdr:rowOff>
    </xdr:to>
    <xdr:pic>
      <xdr:nvPicPr>
        <xdr:cNvPr id="21" name="Picture 20">
          <a:extLst>
            <a:ext uri="{FF2B5EF4-FFF2-40B4-BE49-F238E27FC236}">
              <a16:creationId xmlns:a16="http://schemas.microsoft.com/office/drawing/2014/main" id="{4FF15C4C-2EBE-B555-01E7-39B393A0586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2189594" y="6575259"/>
          <a:ext cx="425116" cy="420303"/>
        </a:xfrm>
        <a:prstGeom prst="rect">
          <a:avLst/>
        </a:prstGeom>
      </xdr:spPr>
    </xdr:pic>
    <xdr:clientData/>
  </xdr:twoCellAnchor>
  <xdr:twoCellAnchor>
    <xdr:from>
      <xdr:col>8</xdr:col>
      <xdr:colOff>178066</xdr:colOff>
      <xdr:row>3</xdr:row>
      <xdr:rowOff>70586</xdr:rowOff>
    </xdr:from>
    <xdr:to>
      <xdr:col>12</xdr:col>
      <xdr:colOff>387015</xdr:colOff>
      <xdr:row>8</xdr:row>
      <xdr:rowOff>70586</xdr:rowOff>
    </xdr:to>
    <xdr:grpSp>
      <xdr:nvGrpSpPr>
        <xdr:cNvPr id="17" name="Group 16">
          <a:extLst>
            <a:ext uri="{FF2B5EF4-FFF2-40B4-BE49-F238E27FC236}">
              <a16:creationId xmlns:a16="http://schemas.microsoft.com/office/drawing/2014/main" id="{199D2E36-A4A9-182C-8C2B-AD9BFABD00B6}"/>
            </a:ext>
          </a:extLst>
        </xdr:cNvPr>
        <xdr:cNvGrpSpPr/>
      </xdr:nvGrpSpPr>
      <xdr:grpSpPr>
        <a:xfrm>
          <a:off x="5054866" y="619226"/>
          <a:ext cx="2647349" cy="914400"/>
          <a:chOff x="5024386" y="634466"/>
          <a:chExt cx="2647349" cy="914400"/>
        </a:xfrm>
      </xdr:grpSpPr>
      <xdr:grpSp>
        <xdr:nvGrpSpPr>
          <xdr:cNvPr id="45" name="Group 44">
            <a:extLst>
              <a:ext uri="{FF2B5EF4-FFF2-40B4-BE49-F238E27FC236}">
                <a16:creationId xmlns:a16="http://schemas.microsoft.com/office/drawing/2014/main" id="{51A106A3-13B2-05B2-97A2-99F3C14F0CBC}"/>
              </a:ext>
            </a:extLst>
          </xdr:cNvPr>
          <xdr:cNvGrpSpPr/>
        </xdr:nvGrpSpPr>
        <xdr:grpSpPr>
          <a:xfrm>
            <a:off x="5024386" y="634466"/>
            <a:ext cx="2647349" cy="914400"/>
            <a:chOff x="5082164" y="528590"/>
            <a:chExt cx="2583180" cy="930442"/>
          </a:xfrm>
        </xdr:grpSpPr>
        <xdr:sp macro="" textlink="">
          <xdr:nvSpPr>
            <xdr:cNvPr id="25" name="Rectangle 24">
              <a:extLst>
                <a:ext uri="{FF2B5EF4-FFF2-40B4-BE49-F238E27FC236}">
                  <a16:creationId xmlns:a16="http://schemas.microsoft.com/office/drawing/2014/main" id="{CDF63DDC-9532-292D-8866-7BB5408BAAB4}"/>
                </a:ext>
              </a:extLst>
            </xdr:cNvPr>
            <xdr:cNvSpPr/>
          </xdr:nvSpPr>
          <xdr:spPr>
            <a:xfrm>
              <a:off x="5082164" y="528590"/>
              <a:ext cx="2583180" cy="9304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200"/>
            </a:p>
          </xdr:txBody>
        </xdr:sp>
        <xdr:sp macro="" textlink="">
          <xdr:nvSpPr>
            <xdr:cNvPr id="26" name="TextBox 25">
              <a:extLst>
                <a:ext uri="{FF2B5EF4-FFF2-40B4-BE49-F238E27FC236}">
                  <a16:creationId xmlns:a16="http://schemas.microsoft.com/office/drawing/2014/main" id="{AF9D41A9-5D52-07BE-7264-E974DAC87DCF}"/>
                </a:ext>
              </a:extLst>
            </xdr:cNvPr>
            <xdr:cNvSpPr txBox="1"/>
          </xdr:nvSpPr>
          <xdr:spPr>
            <a:xfrm>
              <a:off x="6149741" y="649706"/>
              <a:ext cx="1022526" cy="27592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200" b="1"/>
                <a:t>Total Profit</a:t>
              </a:r>
            </a:p>
          </xdr:txBody>
        </xdr:sp>
        <xdr:sp macro="" textlink="'statstical analysis'!$D$6">
          <xdr:nvSpPr>
            <xdr:cNvPr id="27" name="TextBox 26">
              <a:extLst>
                <a:ext uri="{FF2B5EF4-FFF2-40B4-BE49-F238E27FC236}">
                  <a16:creationId xmlns:a16="http://schemas.microsoft.com/office/drawing/2014/main" id="{AB31B0A1-5A9E-8E1F-7A74-8F74C49A7A96}"/>
                </a:ext>
              </a:extLst>
            </xdr:cNvPr>
            <xdr:cNvSpPr txBox="1"/>
          </xdr:nvSpPr>
          <xdr:spPr>
            <a:xfrm>
              <a:off x="6380603" y="932813"/>
              <a:ext cx="1041340" cy="28381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936E0939-FB5B-4928-A2F3-1AFFCD8CC8A8}" type="TxLink">
                <a:rPr lang="en-US" sz="1400" b="1" i="0" u="none" strike="noStrike">
                  <a:solidFill>
                    <a:srgbClr val="000000"/>
                  </a:solidFill>
                  <a:latin typeface="Calibri"/>
                  <a:ea typeface="Calibri"/>
                  <a:cs typeface="Calibri"/>
                </a:rPr>
                <a:pPr algn="ctr"/>
                <a:t>-124.5091</a:t>
              </a:fld>
              <a:endParaRPr lang="en-US" sz="1400" b="1"/>
            </a:p>
          </xdr:txBody>
        </xdr:sp>
        <xdr:sp macro="" textlink="">
          <xdr:nvSpPr>
            <xdr:cNvPr id="15" name="Oval 14">
              <a:extLst>
                <a:ext uri="{FF2B5EF4-FFF2-40B4-BE49-F238E27FC236}">
                  <a16:creationId xmlns:a16="http://schemas.microsoft.com/office/drawing/2014/main" id="{EF2E1B3B-8A6B-D378-2F4D-3BA47B0A153D}"/>
                </a:ext>
              </a:extLst>
            </xdr:cNvPr>
            <xdr:cNvSpPr/>
          </xdr:nvSpPr>
          <xdr:spPr>
            <a:xfrm>
              <a:off x="5181404" y="657853"/>
              <a:ext cx="631659" cy="601579"/>
            </a:xfrm>
            <a:prstGeom prst="ellipse">
              <a:avLst/>
            </a:prstGeom>
            <a:solidFill>
              <a:schemeClr val="dk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200"/>
            </a:p>
          </xdr:txBody>
        </xdr:sp>
      </xdr:grpSp>
      <xdr:pic>
        <xdr:nvPicPr>
          <xdr:cNvPr id="32" name="Graphic 31">
            <a:extLst>
              <a:ext uri="{FF2B5EF4-FFF2-40B4-BE49-F238E27FC236}">
                <a16:creationId xmlns:a16="http://schemas.microsoft.com/office/drawing/2014/main" id="{84420725-F46D-919C-5213-6C978C12B938}"/>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5234940" y="810127"/>
            <a:ext cx="449179" cy="445971"/>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xdr:colOff>
      <xdr:row>3</xdr:row>
      <xdr:rowOff>30480</xdr:rowOff>
    </xdr:from>
    <xdr:to>
      <xdr:col>10</xdr:col>
      <xdr:colOff>464820</xdr:colOff>
      <xdr:row>15</xdr:row>
      <xdr:rowOff>7620</xdr:rowOff>
    </xdr:to>
    <xdr:graphicFrame macro="">
      <xdr:nvGraphicFramePr>
        <xdr:cNvPr id="2" name="Chart 1">
          <a:extLst>
            <a:ext uri="{FF2B5EF4-FFF2-40B4-BE49-F238E27FC236}">
              <a16:creationId xmlns:a16="http://schemas.microsoft.com/office/drawing/2014/main" id="{BA5D1454-8715-46F5-8111-07A473796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369684</xdr:colOff>
      <xdr:row>4</xdr:row>
      <xdr:rowOff>15090</xdr:rowOff>
    </xdr:from>
    <xdr:to>
      <xdr:col>11</xdr:col>
      <xdr:colOff>0</xdr:colOff>
      <xdr:row>18</xdr:row>
      <xdr:rowOff>165980</xdr:rowOff>
    </xdr:to>
    <xdr:graphicFrame macro="">
      <xdr:nvGraphicFramePr>
        <xdr:cNvPr id="3" name="Chart 2">
          <a:extLst>
            <a:ext uri="{FF2B5EF4-FFF2-40B4-BE49-F238E27FC236}">
              <a16:creationId xmlns:a16="http://schemas.microsoft.com/office/drawing/2014/main" id="{7CF2617F-D889-46A4-9A4C-F54D78373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4</xdr:row>
      <xdr:rowOff>45720</xdr:rowOff>
    </xdr:from>
    <xdr:to>
      <xdr:col>11</xdr:col>
      <xdr:colOff>68580</xdr:colOff>
      <xdr:row>16</xdr:row>
      <xdr:rowOff>45720</xdr:rowOff>
    </xdr:to>
    <xdr:graphicFrame macro="">
      <xdr:nvGraphicFramePr>
        <xdr:cNvPr id="3" name="Chart 2">
          <a:extLst>
            <a:ext uri="{FF2B5EF4-FFF2-40B4-BE49-F238E27FC236}">
              <a16:creationId xmlns:a16="http://schemas.microsoft.com/office/drawing/2014/main" id="{1053CEA1-1629-4D5F-B1F5-A877E28A0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53340</xdr:colOff>
      <xdr:row>4</xdr:row>
      <xdr:rowOff>7620</xdr:rowOff>
    </xdr:from>
    <xdr:to>
      <xdr:col>11</xdr:col>
      <xdr:colOff>30480</xdr:colOff>
      <xdr:row>16</xdr:row>
      <xdr:rowOff>7620</xdr:rowOff>
    </xdr:to>
    <xdr:graphicFrame macro="">
      <xdr:nvGraphicFramePr>
        <xdr:cNvPr id="2" name="Chart 1">
          <a:extLst>
            <a:ext uri="{FF2B5EF4-FFF2-40B4-BE49-F238E27FC236}">
              <a16:creationId xmlns:a16="http://schemas.microsoft.com/office/drawing/2014/main" id="{2935A5F6-BB62-4F60-AA33-46E90B69B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556260</xdr:colOff>
      <xdr:row>3</xdr:row>
      <xdr:rowOff>175260</xdr:rowOff>
    </xdr:from>
    <xdr:to>
      <xdr:col>10</xdr:col>
      <xdr:colOff>586740</xdr:colOff>
      <xdr:row>15</xdr:row>
      <xdr:rowOff>129541</xdr:rowOff>
    </xdr:to>
    <xdr:graphicFrame macro="">
      <xdr:nvGraphicFramePr>
        <xdr:cNvPr id="2" name="Chart 2">
          <a:extLst>
            <a:ext uri="{FF2B5EF4-FFF2-40B4-BE49-F238E27FC236}">
              <a16:creationId xmlns:a16="http://schemas.microsoft.com/office/drawing/2014/main" id="{744D599E-6B41-4982-9B39-6962773CC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45720</xdr:colOff>
      <xdr:row>4</xdr:row>
      <xdr:rowOff>99060</xdr:rowOff>
    </xdr:from>
    <xdr:to>
      <xdr:col>12</xdr:col>
      <xdr:colOff>350520</xdr:colOff>
      <xdr:row>19</xdr:row>
      <xdr:rowOff>99060</xdr:rowOff>
    </xdr:to>
    <xdr:graphicFrame macro="">
      <xdr:nvGraphicFramePr>
        <xdr:cNvPr id="2" name="Chart 1">
          <a:extLst>
            <a:ext uri="{FF2B5EF4-FFF2-40B4-BE49-F238E27FC236}">
              <a16:creationId xmlns:a16="http://schemas.microsoft.com/office/drawing/2014/main" id="{DE616C84-22D3-1AB2-EFC0-2A5AF890E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251460</xdr:colOff>
      <xdr:row>4</xdr:row>
      <xdr:rowOff>0</xdr:rowOff>
    </xdr:from>
    <xdr:to>
      <xdr:col>13</xdr:col>
      <xdr:colOff>350520</xdr:colOff>
      <xdr:row>19</xdr:row>
      <xdr:rowOff>0</xdr:rowOff>
    </xdr:to>
    <xdr:graphicFrame macro="">
      <xdr:nvGraphicFramePr>
        <xdr:cNvPr id="2" name="Chart 1">
          <a:extLst>
            <a:ext uri="{FF2B5EF4-FFF2-40B4-BE49-F238E27FC236}">
              <a16:creationId xmlns:a16="http://schemas.microsoft.com/office/drawing/2014/main" id="{9569A55D-CF92-5B43-CCA5-4CF0088D5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3</xdr:row>
      <xdr:rowOff>167640</xdr:rowOff>
    </xdr:from>
    <xdr:to>
      <xdr:col>11</xdr:col>
      <xdr:colOff>556260</xdr:colOff>
      <xdr:row>19</xdr:row>
      <xdr:rowOff>0</xdr:rowOff>
    </xdr:to>
    <xdr:graphicFrame macro="">
      <xdr:nvGraphicFramePr>
        <xdr:cNvPr id="2" name="Chart 1">
          <a:extLst>
            <a:ext uri="{FF2B5EF4-FFF2-40B4-BE49-F238E27FC236}">
              <a16:creationId xmlns:a16="http://schemas.microsoft.com/office/drawing/2014/main" id="{7C50F512-4B32-1EF6-2952-CA1AE5221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5.499317939815" createdVersion="8" refreshedVersion="8" minRefreshableVersion="3" recordCount="99" xr:uid="{F2501A07-67A7-4448-A324-7E91AA593128}">
  <cacheSource type="worksheet">
    <worksheetSource name="Table1"/>
  </cacheSource>
  <cacheFields count="13">
    <cacheField name="Ship Mode" numFmtId="0">
      <sharedItems count="3">
        <s v="Second Class"/>
        <s v="Standard Class"/>
        <s v="First Class"/>
      </sharedItems>
    </cacheField>
    <cacheField name="Segment" numFmtId="0">
      <sharedItems count="3">
        <s v="Consumer"/>
        <s v="Corporate"/>
        <s v="Home Office"/>
      </sharedItems>
    </cacheField>
    <cacheField name="Country" numFmtId="0">
      <sharedItems count="1">
        <s v="United States"/>
      </sharedItems>
    </cacheField>
    <cacheField name="City" numFmtId="0">
      <sharedItems count="34">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haredItems>
    </cacheField>
    <cacheField name="State" numFmtId="0">
      <sharedItems count="22">
        <s v="Kentucky"/>
        <s v="California"/>
        <s v="Florida"/>
        <s v="North Carolina"/>
        <s v="Washington"/>
        <s v="Texas"/>
        <s v="Wisconsin"/>
        <s v="Utah"/>
        <s v="Nebraska"/>
        <s v="Pennsylvania"/>
        <s v="Illinois"/>
        <s v="Minnesota"/>
        <s v="Michigan"/>
        <s v="Delaware"/>
        <s v="Indiana"/>
        <s v="New York"/>
        <s v="Arizona"/>
        <s v="Virginia"/>
        <s v="Tennessee"/>
        <s v="Alabama"/>
        <s v="South Carolina"/>
        <s v="Oregon"/>
      </sharedItems>
    </cacheField>
    <cacheField name="Postal Code" numFmtId="0">
      <sharedItems containsSemiMixedTypes="0" containsString="0" containsNumber="1" containsInteger="1" minValue="10009" maxValue="98103"/>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4">
        <s v="Bookcases"/>
        <s v="Chairs"/>
        <s v="Labels"/>
        <s v="Tables"/>
        <s v="Storage"/>
        <s v="Furnishings"/>
        <s v="Art"/>
        <s v="Phones"/>
        <s v="Binders"/>
        <s v="Appliances"/>
        <s v="Paper"/>
        <s v="Accessories"/>
        <s v="Envelopes"/>
        <s v="Fasteners"/>
      </sharedItems>
    </cacheField>
    <cacheField name="Sales" numFmtId="0">
      <sharedItems containsSemiMixedTypes="0" containsString="0" containsNumber="1" minValue="1.248" maxValue="3083.43"/>
    </cacheField>
    <cacheField name="Quantity" numFmtId="0">
      <sharedItems containsSemiMixedTypes="0" containsString="0" containsNumber="1" containsInteger="1" minValue="1" maxValue="9"/>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98.68549999999999"/>
    </cacheField>
  </cacheFields>
  <extLst>
    <ext xmlns:x14="http://schemas.microsoft.com/office/spreadsheetml/2009/9/main" uri="{725AE2AE-9491-48be-B2B4-4EB974FC3084}">
      <x14:pivotCacheDefinition pivotCacheId="116665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x v="0"/>
    <x v="0"/>
    <n v="42420"/>
    <x v="0"/>
    <x v="0"/>
    <x v="0"/>
    <n v="261.95999999999998"/>
    <n v="2"/>
    <n v="0"/>
    <n v="41.913600000000002"/>
  </r>
  <r>
    <x v="0"/>
    <x v="0"/>
    <x v="0"/>
    <x v="0"/>
    <x v="0"/>
    <n v="42420"/>
    <x v="0"/>
    <x v="0"/>
    <x v="1"/>
    <n v="731.94"/>
    <n v="3"/>
    <n v="0"/>
    <n v="219.58199999999999"/>
  </r>
  <r>
    <x v="0"/>
    <x v="1"/>
    <x v="0"/>
    <x v="1"/>
    <x v="1"/>
    <n v="90036"/>
    <x v="1"/>
    <x v="1"/>
    <x v="2"/>
    <n v="14.62"/>
    <n v="2"/>
    <n v="0"/>
    <n v="6.8714000000000004"/>
  </r>
  <r>
    <x v="1"/>
    <x v="0"/>
    <x v="0"/>
    <x v="2"/>
    <x v="2"/>
    <n v="33311"/>
    <x v="0"/>
    <x v="0"/>
    <x v="3"/>
    <n v="957.57749999999999"/>
    <n v="5"/>
    <n v="0.45"/>
    <n v="-383.03100000000001"/>
  </r>
  <r>
    <x v="1"/>
    <x v="0"/>
    <x v="0"/>
    <x v="2"/>
    <x v="2"/>
    <n v="33311"/>
    <x v="0"/>
    <x v="1"/>
    <x v="4"/>
    <n v="22.367999999999999"/>
    <n v="2"/>
    <n v="0.2"/>
    <n v="2.5164"/>
  </r>
  <r>
    <x v="1"/>
    <x v="0"/>
    <x v="0"/>
    <x v="1"/>
    <x v="1"/>
    <n v="90032"/>
    <x v="1"/>
    <x v="0"/>
    <x v="5"/>
    <n v="48.86"/>
    <n v="7"/>
    <n v="0"/>
    <n v="14.1694"/>
  </r>
  <r>
    <x v="1"/>
    <x v="0"/>
    <x v="0"/>
    <x v="1"/>
    <x v="1"/>
    <n v="90032"/>
    <x v="1"/>
    <x v="1"/>
    <x v="6"/>
    <n v="7.28"/>
    <n v="4"/>
    <n v="0"/>
    <n v="1.9656"/>
  </r>
  <r>
    <x v="1"/>
    <x v="0"/>
    <x v="0"/>
    <x v="1"/>
    <x v="1"/>
    <n v="90032"/>
    <x v="1"/>
    <x v="2"/>
    <x v="7"/>
    <n v="907.15200000000004"/>
    <n v="6"/>
    <n v="0.2"/>
    <n v="90.715199999999996"/>
  </r>
  <r>
    <x v="1"/>
    <x v="0"/>
    <x v="0"/>
    <x v="1"/>
    <x v="1"/>
    <n v="90032"/>
    <x v="1"/>
    <x v="1"/>
    <x v="8"/>
    <n v="18.504000000000001"/>
    <n v="3"/>
    <n v="0.2"/>
    <n v="5.7824999999999998"/>
  </r>
  <r>
    <x v="1"/>
    <x v="0"/>
    <x v="0"/>
    <x v="1"/>
    <x v="1"/>
    <n v="90032"/>
    <x v="1"/>
    <x v="1"/>
    <x v="9"/>
    <n v="114.9"/>
    <n v="5"/>
    <n v="0"/>
    <n v="34.47"/>
  </r>
  <r>
    <x v="1"/>
    <x v="0"/>
    <x v="0"/>
    <x v="1"/>
    <x v="1"/>
    <n v="90032"/>
    <x v="1"/>
    <x v="0"/>
    <x v="3"/>
    <n v="1706.184"/>
    <n v="9"/>
    <n v="0.2"/>
    <n v="85.309200000000004"/>
  </r>
  <r>
    <x v="1"/>
    <x v="0"/>
    <x v="0"/>
    <x v="1"/>
    <x v="1"/>
    <n v="90032"/>
    <x v="1"/>
    <x v="2"/>
    <x v="7"/>
    <n v="911.42399999999998"/>
    <n v="4"/>
    <n v="0.2"/>
    <n v="68.356800000000007"/>
  </r>
  <r>
    <x v="1"/>
    <x v="0"/>
    <x v="0"/>
    <x v="3"/>
    <x v="3"/>
    <n v="28027"/>
    <x v="0"/>
    <x v="1"/>
    <x v="10"/>
    <n v="15.552"/>
    <n v="3"/>
    <n v="0.2"/>
    <n v="5.4432"/>
  </r>
  <r>
    <x v="1"/>
    <x v="0"/>
    <x v="0"/>
    <x v="4"/>
    <x v="4"/>
    <n v="98103"/>
    <x v="1"/>
    <x v="1"/>
    <x v="8"/>
    <n v="407.976"/>
    <n v="3"/>
    <n v="0.2"/>
    <n v="132.59219999999999"/>
  </r>
  <r>
    <x v="1"/>
    <x v="2"/>
    <x v="0"/>
    <x v="5"/>
    <x v="5"/>
    <n v="76106"/>
    <x v="2"/>
    <x v="1"/>
    <x v="9"/>
    <n v="68.81"/>
    <n v="5"/>
    <n v="0.8"/>
    <n v="-123.858"/>
  </r>
  <r>
    <x v="1"/>
    <x v="2"/>
    <x v="0"/>
    <x v="5"/>
    <x v="5"/>
    <n v="76106"/>
    <x v="2"/>
    <x v="1"/>
    <x v="8"/>
    <n v="2.544"/>
    <n v="3"/>
    <n v="0.8"/>
    <n v="-3.8159999999999998"/>
  </r>
  <r>
    <x v="1"/>
    <x v="0"/>
    <x v="0"/>
    <x v="6"/>
    <x v="6"/>
    <n v="53711"/>
    <x v="2"/>
    <x v="1"/>
    <x v="4"/>
    <n v="665.88"/>
    <n v="6"/>
    <n v="0"/>
    <n v="13.317600000000001"/>
  </r>
  <r>
    <x v="0"/>
    <x v="0"/>
    <x v="0"/>
    <x v="7"/>
    <x v="7"/>
    <n v="84084"/>
    <x v="1"/>
    <x v="1"/>
    <x v="4"/>
    <n v="55.5"/>
    <n v="2"/>
    <n v="0"/>
    <n v="9.99"/>
  </r>
  <r>
    <x v="0"/>
    <x v="0"/>
    <x v="0"/>
    <x v="8"/>
    <x v="1"/>
    <n v="94109"/>
    <x v="1"/>
    <x v="1"/>
    <x v="6"/>
    <n v="8.56"/>
    <n v="2"/>
    <n v="0"/>
    <n v="2.4824000000000002"/>
  </r>
  <r>
    <x v="0"/>
    <x v="0"/>
    <x v="0"/>
    <x v="8"/>
    <x v="1"/>
    <n v="94109"/>
    <x v="1"/>
    <x v="2"/>
    <x v="7"/>
    <n v="213.48"/>
    <n v="3"/>
    <n v="0.2"/>
    <n v="16.010999999999999"/>
  </r>
  <r>
    <x v="0"/>
    <x v="0"/>
    <x v="0"/>
    <x v="8"/>
    <x v="1"/>
    <n v="94109"/>
    <x v="1"/>
    <x v="1"/>
    <x v="8"/>
    <n v="22.72"/>
    <n v="4"/>
    <n v="0.2"/>
    <n v="7.3840000000000003"/>
  </r>
  <r>
    <x v="1"/>
    <x v="1"/>
    <x v="0"/>
    <x v="9"/>
    <x v="8"/>
    <n v="68025"/>
    <x v="2"/>
    <x v="1"/>
    <x v="6"/>
    <n v="19.46"/>
    <n v="7"/>
    <n v="0"/>
    <n v="5.0595999999999997"/>
  </r>
  <r>
    <x v="1"/>
    <x v="1"/>
    <x v="0"/>
    <x v="9"/>
    <x v="8"/>
    <n v="68025"/>
    <x v="2"/>
    <x v="1"/>
    <x v="9"/>
    <n v="60.34"/>
    <n v="7"/>
    <n v="0"/>
    <n v="15.6884"/>
  </r>
  <r>
    <x v="0"/>
    <x v="0"/>
    <x v="0"/>
    <x v="10"/>
    <x v="9"/>
    <n v="19140"/>
    <x v="3"/>
    <x v="0"/>
    <x v="1"/>
    <n v="71.372"/>
    <n v="2"/>
    <n v="0.3"/>
    <n v="-1.0196000000000001"/>
  </r>
  <r>
    <x v="1"/>
    <x v="0"/>
    <x v="0"/>
    <x v="11"/>
    <x v="7"/>
    <n v="84057"/>
    <x v="1"/>
    <x v="0"/>
    <x v="3"/>
    <n v="1044.6300000000001"/>
    <n v="3"/>
    <n v="0"/>
    <n v="240.26490000000001"/>
  </r>
  <r>
    <x v="0"/>
    <x v="0"/>
    <x v="0"/>
    <x v="1"/>
    <x v="1"/>
    <n v="90049"/>
    <x v="1"/>
    <x v="1"/>
    <x v="8"/>
    <n v="11.648"/>
    <n v="2"/>
    <n v="0.2"/>
    <n v="4.2224000000000004"/>
  </r>
  <r>
    <x v="0"/>
    <x v="0"/>
    <x v="0"/>
    <x v="1"/>
    <x v="1"/>
    <n v="90049"/>
    <x v="1"/>
    <x v="2"/>
    <x v="11"/>
    <n v="90.57"/>
    <n v="3"/>
    <n v="0"/>
    <n v="11.774100000000001"/>
  </r>
  <r>
    <x v="1"/>
    <x v="0"/>
    <x v="0"/>
    <x v="10"/>
    <x v="9"/>
    <n v="19140"/>
    <x v="3"/>
    <x v="0"/>
    <x v="0"/>
    <n v="3083.43"/>
    <n v="7"/>
    <n v="0.5"/>
    <n v="-1665.0522000000001"/>
  </r>
  <r>
    <x v="1"/>
    <x v="0"/>
    <x v="0"/>
    <x v="10"/>
    <x v="9"/>
    <n v="19140"/>
    <x v="3"/>
    <x v="1"/>
    <x v="8"/>
    <n v="9.6180000000000003"/>
    <n v="2"/>
    <n v="0.7"/>
    <n v="-7.0532000000000004"/>
  </r>
  <r>
    <x v="1"/>
    <x v="0"/>
    <x v="0"/>
    <x v="10"/>
    <x v="9"/>
    <n v="19140"/>
    <x v="3"/>
    <x v="0"/>
    <x v="5"/>
    <n v="124.2"/>
    <n v="3"/>
    <n v="0.2"/>
    <n v="15.525"/>
  </r>
  <r>
    <x v="1"/>
    <x v="0"/>
    <x v="0"/>
    <x v="10"/>
    <x v="9"/>
    <n v="19140"/>
    <x v="3"/>
    <x v="1"/>
    <x v="12"/>
    <n v="3.2639999999999998"/>
    <n v="2"/>
    <n v="0.2"/>
    <n v="1.1015999999999999"/>
  </r>
  <r>
    <x v="1"/>
    <x v="0"/>
    <x v="0"/>
    <x v="10"/>
    <x v="9"/>
    <n v="19140"/>
    <x v="3"/>
    <x v="1"/>
    <x v="6"/>
    <n v="86.304000000000002"/>
    <n v="6"/>
    <n v="0.2"/>
    <n v="9.7091999999999992"/>
  </r>
  <r>
    <x v="1"/>
    <x v="0"/>
    <x v="0"/>
    <x v="10"/>
    <x v="9"/>
    <n v="19140"/>
    <x v="3"/>
    <x v="1"/>
    <x v="8"/>
    <n v="6.8579999999999997"/>
    <n v="6"/>
    <n v="0.7"/>
    <n v="-5.7149999999999999"/>
  </r>
  <r>
    <x v="1"/>
    <x v="0"/>
    <x v="0"/>
    <x v="10"/>
    <x v="9"/>
    <n v="19140"/>
    <x v="3"/>
    <x v="1"/>
    <x v="6"/>
    <n v="15.76"/>
    <n v="2"/>
    <n v="0.2"/>
    <n v="3.5459999999999998"/>
  </r>
  <r>
    <x v="0"/>
    <x v="2"/>
    <x v="0"/>
    <x v="12"/>
    <x v="5"/>
    <n v="77095"/>
    <x v="2"/>
    <x v="1"/>
    <x v="10"/>
    <n v="29.472000000000001"/>
    <n v="3"/>
    <n v="0.2"/>
    <n v="9.9467999999999996"/>
  </r>
  <r>
    <x v="2"/>
    <x v="1"/>
    <x v="0"/>
    <x v="13"/>
    <x v="5"/>
    <n v="75080"/>
    <x v="2"/>
    <x v="2"/>
    <x v="7"/>
    <n v="1097.5440000000001"/>
    <n v="7"/>
    <n v="0.2"/>
    <n v="123.47369999999999"/>
  </r>
  <r>
    <x v="2"/>
    <x v="1"/>
    <x v="0"/>
    <x v="13"/>
    <x v="5"/>
    <n v="75080"/>
    <x v="2"/>
    <x v="0"/>
    <x v="5"/>
    <n v="190.92"/>
    <n v="5"/>
    <n v="0.6"/>
    <n v="-147.96299999999999"/>
  </r>
  <r>
    <x v="1"/>
    <x v="2"/>
    <x v="0"/>
    <x v="12"/>
    <x v="5"/>
    <n v="77041"/>
    <x v="2"/>
    <x v="1"/>
    <x v="12"/>
    <n v="113.328"/>
    <n v="9"/>
    <n v="0.2"/>
    <n v="35.414999999999999"/>
  </r>
  <r>
    <x v="1"/>
    <x v="2"/>
    <x v="0"/>
    <x v="12"/>
    <x v="5"/>
    <n v="77041"/>
    <x v="2"/>
    <x v="0"/>
    <x v="0"/>
    <n v="532.39919999999995"/>
    <n v="3"/>
    <n v="0.32"/>
    <n v="-46.976399999999998"/>
  </r>
  <r>
    <x v="1"/>
    <x v="2"/>
    <x v="0"/>
    <x v="12"/>
    <x v="5"/>
    <n v="77041"/>
    <x v="2"/>
    <x v="0"/>
    <x v="1"/>
    <n v="212.05799999999999"/>
    <n v="3"/>
    <n v="0.3"/>
    <n v="-15.147"/>
  </r>
  <r>
    <x v="1"/>
    <x v="2"/>
    <x v="0"/>
    <x v="12"/>
    <x v="5"/>
    <n v="77041"/>
    <x v="2"/>
    <x v="2"/>
    <x v="7"/>
    <n v="371.16800000000001"/>
    <n v="4"/>
    <n v="0.2"/>
    <n v="41.756399999999999"/>
  </r>
  <r>
    <x v="1"/>
    <x v="1"/>
    <x v="0"/>
    <x v="14"/>
    <x v="10"/>
    <n v="60540"/>
    <x v="2"/>
    <x v="2"/>
    <x v="7"/>
    <n v="147.16800000000001"/>
    <n v="4"/>
    <n v="0.2"/>
    <n v="16.5564"/>
  </r>
  <r>
    <x v="1"/>
    <x v="1"/>
    <x v="0"/>
    <x v="1"/>
    <x v="1"/>
    <n v="90049"/>
    <x v="1"/>
    <x v="1"/>
    <x v="4"/>
    <n v="77.88"/>
    <n v="2"/>
    <n v="0"/>
    <n v="3.8940000000000001"/>
  </r>
  <r>
    <x v="1"/>
    <x v="1"/>
    <x v="0"/>
    <x v="15"/>
    <x v="2"/>
    <n v="32935"/>
    <x v="0"/>
    <x v="1"/>
    <x v="4"/>
    <n v="95.616"/>
    <n v="2"/>
    <n v="0.2"/>
    <n v="9.5616000000000003"/>
  </r>
  <r>
    <x v="2"/>
    <x v="1"/>
    <x v="0"/>
    <x v="16"/>
    <x v="11"/>
    <n v="55122"/>
    <x v="2"/>
    <x v="2"/>
    <x v="11"/>
    <n v="45.98"/>
    <n v="2"/>
    <n v="0"/>
    <n v="19.7714"/>
  </r>
  <r>
    <x v="2"/>
    <x v="1"/>
    <x v="0"/>
    <x v="16"/>
    <x v="11"/>
    <n v="55122"/>
    <x v="2"/>
    <x v="1"/>
    <x v="8"/>
    <n v="17.46"/>
    <n v="2"/>
    <n v="0"/>
    <n v="8.2062000000000008"/>
  </r>
  <r>
    <x v="0"/>
    <x v="0"/>
    <x v="0"/>
    <x v="17"/>
    <x v="12"/>
    <n v="48185"/>
    <x v="2"/>
    <x v="1"/>
    <x v="4"/>
    <n v="211.96"/>
    <n v="4"/>
    <n v="0"/>
    <n v="8.4784000000000006"/>
  </r>
  <r>
    <x v="1"/>
    <x v="0"/>
    <x v="0"/>
    <x v="18"/>
    <x v="13"/>
    <n v="19901"/>
    <x v="3"/>
    <x v="2"/>
    <x v="11"/>
    <n v="45"/>
    <n v="3"/>
    <n v="0"/>
    <n v="4.95"/>
  </r>
  <r>
    <x v="1"/>
    <x v="0"/>
    <x v="0"/>
    <x v="18"/>
    <x v="13"/>
    <n v="19901"/>
    <x v="3"/>
    <x v="2"/>
    <x v="7"/>
    <n v="21.8"/>
    <n v="2"/>
    <n v="0"/>
    <n v="6.1040000000000001"/>
  </r>
  <r>
    <x v="1"/>
    <x v="0"/>
    <x v="0"/>
    <x v="19"/>
    <x v="14"/>
    <n v="47150"/>
    <x v="2"/>
    <x v="1"/>
    <x v="8"/>
    <n v="38.22"/>
    <n v="6"/>
    <n v="0"/>
    <n v="17.9634"/>
  </r>
  <r>
    <x v="1"/>
    <x v="0"/>
    <x v="0"/>
    <x v="19"/>
    <x v="14"/>
    <n v="47150"/>
    <x v="2"/>
    <x v="1"/>
    <x v="2"/>
    <n v="75.180000000000007"/>
    <n v="6"/>
    <n v="0"/>
    <n v="35.334600000000002"/>
  </r>
  <r>
    <x v="1"/>
    <x v="0"/>
    <x v="0"/>
    <x v="19"/>
    <x v="14"/>
    <n v="47150"/>
    <x v="2"/>
    <x v="0"/>
    <x v="5"/>
    <n v="6.16"/>
    <n v="2"/>
    <n v="0"/>
    <n v="2.9567999999999999"/>
  </r>
  <r>
    <x v="1"/>
    <x v="0"/>
    <x v="0"/>
    <x v="19"/>
    <x v="14"/>
    <n v="47150"/>
    <x v="2"/>
    <x v="0"/>
    <x v="1"/>
    <n v="89.99"/>
    <n v="1"/>
    <n v="0"/>
    <n v="17.098099999999999"/>
  </r>
  <r>
    <x v="1"/>
    <x v="1"/>
    <x v="0"/>
    <x v="20"/>
    <x v="15"/>
    <n v="10024"/>
    <x v="3"/>
    <x v="1"/>
    <x v="13"/>
    <n v="15.26"/>
    <n v="7"/>
    <n v="0"/>
    <n v="6.2565999999999997"/>
  </r>
  <r>
    <x v="1"/>
    <x v="1"/>
    <x v="0"/>
    <x v="20"/>
    <x v="15"/>
    <n v="10024"/>
    <x v="3"/>
    <x v="2"/>
    <x v="7"/>
    <n v="1029.95"/>
    <n v="5"/>
    <n v="0"/>
    <n v="298.68549999999999"/>
  </r>
  <r>
    <x v="2"/>
    <x v="0"/>
    <x v="0"/>
    <x v="21"/>
    <x v="15"/>
    <n v="12180"/>
    <x v="3"/>
    <x v="1"/>
    <x v="4"/>
    <n v="208.56"/>
    <n v="6"/>
    <n v="0"/>
    <n v="52.14"/>
  </r>
  <r>
    <x v="2"/>
    <x v="0"/>
    <x v="0"/>
    <x v="21"/>
    <x v="15"/>
    <n v="12180"/>
    <x v="3"/>
    <x v="1"/>
    <x v="10"/>
    <n v="32.4"/>
    <n v="5"/>
    <n v="0"/>
    <n v="15.552"/>
  </r>
  <r>
    <x v="2"/>
    <x v="0"/>
    <x v="0"/>
    <x v="21"/>
    <x v="15"/>
    <n v="12180"/>
    <x v="3"/>
    <x v="0"/>
    <x v="1"/>
    <n v="319.41000000000003"/>
    <n v="5"/>
    <n v="0.1"/>
    <n v="7.0979999999999999"/>
  </r>
  <r>
    <x v="2"/>
    <x v="0"/>
    <x v="0"/>
    <x v="21"/>
    <x v="15"/>
    <n v="12180"/>
    <x v="3"/>
    <x v="1"/>
    <x v="10"/>
    <n v="14.56"/>
    <n v="2"/>
    <n v="0"/>
    <n v="6.9888000000000003"/>
  </r>
  <r>
    <x v="2"/>
    <x v="0"/>
    <x v="0"/>
    <x v="21"/>
    <x v="15"/>
    <n v="12180"/>
    <x v="3"/>
    <x v="2"/>
    <x v="11"/>
    <n v="30"/>
    <n v="2"/>
    <n v="0"/>
    <n v="3.3"/>
  </r>
  <r>
    <x v="2"/>
    <x v="0"/>
    <x v="0"/>
    <x v="21"/>
    <x v="15"/>
    <n v="12180"/>
    <x v="3"/>
    <x v="1"/>
    <x v="8"/>
    <n v="48.48"/>
    <n v="4"/>
    <n v="0.2"/>
    <n v="16.361999999999998"/>
  </r>
  <r>
    <x v="2"/>
    <x v="0"/>
    <x v="0"/>
    <x v="21"/>
    <x v="15"/>
    <n v="12180"/>
    <x v="3"/>
    <x v="1"/>
    <x v="6"/>
    <n v="1.68"/>
    <n v="1"/>
    <n v="0"/>
    <n v="0.84"/>
  </r>
  <r>
    <x v="1"/>
    <x v="0"/>
    <x v="0"/>
    <x v="1"/>
    <x v="1"/>
    <n v="90004"/>
    <x v="1"/>
    <x v="2"/>
    <x v="11"/>
    <n v="13.98"/>
    <n v="2"/>
    <n v="0"/>
    <n v="6.1512000000000002"/>
  </r>
  <r>
    <x v="1"/>
    <x v="0"/>
    <x v="0"/>
    <x v="1"/>
    <x v="1"/>
    <n v="90004"/>
    <x v="1"/>
    <x v="1"/>
    <x v="8"/>
    <n v="25.824000000000002"/>
    <n v="6"/>
    <n v="0.2"/>
    <n v="9.3612000000000002"/>
  </r>
  <r>
    <x v="1"/>
    <x v="0"/>
    <x v="0"/>
    <x v="1"/>
    <x v="1"/>
    <n v="90004"/>
    <x v="1"/>
    <x v="1"/>
    <x v="10"/>
    <n v="146.72999999999999"/>
    <n v="3"/>
    <n v="0"/>
    <n v="68.963099999999997"/>
  </r>
  <r>
    <x v="1"/>
    <x v="0"/>
    <x v="0"/>
    <x v="1"/>
    <x v="1"/>
    <n v="90004"/>
    <x v="1"/>
    <x v="0"/>
    <x v="5"/>
    <n v="79.760000000000005"/>
    <n v="4"/>
    <n v="0"/>
    <n v="22.332799999999999"/>
  </r>
  <r>
    <x v="1"/>
    <x v="2"/>
    <x v="0"/>
    <x v="22"/>
    <x v="10"/>
    <n v="60610"/>
    <x v="2"/>
    <x v="0"/>
    <x v="1"/>
    <n v="213.11500000000001"/>
    <n v="5"/>
    <n v="0.3"/>
    <n v="-15.2225"/>
  </r>
  <r>
    <x v="1"/>
    <x v="1"/>
    <x v="0"/>
    <x v="23"/>
    <x v="16"/>
    <n v="85234"/>
    <x v="1"/>
    <x v="1"/>
    <x v="6"/>
    <n v="1113.0239999999999"/>
    <n v="8"/>
    <n v="0.2"/>
    <n v="111.30240000000001"/>
  </r>
  <r>
    <x v="1"/>
    <x v="1"/>
    <x v="0"/>
    <x v="23"/>
    <x v="16"/>
    <n v="85234"/>
    <x v="1"/>
    <x v="2"/>
    <x v="7"/>
    <n v="167.96799999999999"/>
    <n v="4"/>
    <n v="0.2"/>
    <n v="62.988"/>
  </r>
  <r>
    <x v="2"/>
    <x v="0"/>
    <x v="0"/>
    <x v="24"/>
    <x v="17"/>
    <n v="22153"/>
    <x v="0"/>
    <x v="1"/>
    <x v="10"/>
    <n v="75.88"/>
    <n v="2"/>
    <n v="0"/>
    <n v="35.663600000000002"/>
  </r>
  <r>
    <x v="1"/>
    <x v="0"/>
    <x v="0"/>
    <x v="20"/>
    <x v="15"/>
    <n v="10009"/>
    <x v="3"/>
    <x v="1"/>
    <x v="8"/>
    <n v="4.6159999999999997"/>
    <n v="1"/>
    <n v="0.2"/>
    <n v="1.7310000000000001"/>
  </r>
  <r>
    <x v="0"/>
    <x v="0"/>
    <x v="0"/>
    <x v="25"/>
    <x v="12"/>
    <n v="49201"/>
    <x v="2"/>
    <x v="1"/>
    <x v="10"/>
    <n v="19.05"/>
    <n v="3"/>
    <n v="0"/>
    <n v="8.7629999999999999"/>
  </r>
  <r>
    <x v="1"/>
    <x v="0"/>
    <x v="0"/>
    <x v="26"/>
    <x v="18"/>
    <n v="38109"/>
    <x v="0"/>
    <x v="0"/>
    <x v="1"/>
    <n v="831.93600000000004"/>
    <n v="8"/>
    <n v="0.2"/>
    <n v="-114.3912"/>
  </r>
  <r>
    <x v="1"/>
    <x v="0"/>
    <x v="0"/>
    <x v="26"/>
    <x v="18"/>
    <n v="38109"/>
    <x v="0"/>
    <x v="0"/>
    <x v="5"/>
    <n v="97.04"/>
    <n v="2"/>
    <n v="0.2"/>
    <n v="1.2130000000000001"/>
  </r>
  <r>
    <x v="1"/>
    <x v="0"/>
    <x v="0"/>
    <x v="26"/>
    <x v="18"/>
    <n v="38109"/>
    <x v="0"/>
    <x v="1"/>
    <x v="4"/>
    <n v="72.784000000000006"/>
    <n v="1"/>
    <n v="0.2"/>
    <n v="-18.196000000000002"/>
  </r>
  <r>
    <x v="2"/>
    <x v="1"/>
    <x v="0"/>
    <x v="12"/>
    <x v="5"/>
    <n v="77041"/>
    <x v="2"/>
    <x v="1"/>
    <x v="8"/>
    <n v="1.248"/>
    <n v="3"/>
    <n v="0.8"/>
    <n v="-1.9343999999999999"/>
  </r>
  <r>
    <x v="2"/>
    <x v="1"/>
    <x v="0"/>
    <x v="12"/>
    <x v="5"/>
    <n v="77041"/>
    <x v="2"/>
    <x v="0"/>
    <x v="5"/>
    <n v="9.7080000000000002"/>
    <n v="3"/>
    <n v="0.6"/>
    <n v="-5.8247999999999998"/>
  </r>
  <r>
    <x v="2"/>
    <x v="1"/>
    <x v="0"/>
    <x v="12"/>
    <x v="5"/>
    <n v="77041"/>
    <x v="2"/>
    <x v="1"/>
    <x v="4"/>
    <n v="27.24"/>
    <n v="3"/>
    <n v="0.2"/>
    <n v="2.7240000000000002"/>
  </r>
  <r>
    <x v="0"/>
    <x v="0"/>
    <x v="0"/>
    <x v="12"/>
    <x v="5"/>
    <n v="77070"/>
    <x v="2"/>
    <x v="0"/>
    <x v="5"/>
    <n v="19.3"/>
    <n v="5"/>
    <n v="0.6"/>
    <n v="-14.475"/>
  </r>
  <r>
    <x v="2"/>
    <x v="1"/>
    <x v="0"/>
    <x v="27"/>
    <x v="19"/>
    <n v="35601"/>
    <x v="0"/>
    <x v="1"/>
    <x v="9"/>
    <n v="208.16"/>
    <n v="1"/>
    <n v="0"/>
    <n v="56.203200000000002"/>
  </r>
  <r>
    <x v="2"/>
    <x v="1"/>
    <x v="0"/>
    <x v="27"/>
    <x v="19"/>
    <n v="35601"/>
    <x v="0"/>
    <x v="1"/>
    <x v="8"/>
    <n v="16.739999999999998"/>
    <n v="3"/>
    <n v="0"/>
    <n v="8.0351999999999997"/>
  </r>
  <r>
    <x v="1"/>
    <x v="0"/>
    <x v="0"/>
    <x v="8"/>
    <x v="1"/>
    <n v="94122"/>
    <x v="1"/>
    <x v="1"/>
    <x v="6"/>
    <n v="14.9"/>
    <n v="5"/>
    <n v="0"/>
    <n v="4.1719999999999997"/>
  </r>
  <r>
    <x v="1"/>
    <x v="0"/>
    <x v="0"/>
    <x v="8"/>
    <x v="1"/>
    <n v="94122"/>
    <x v="1"/>
    <x v="1"/>
    <x v="4"/>
    <n v="21.39"/>
    <n v="1"/>
    <n v="0"/>
    <n v="6.2031000000000001"/>
  </r>
  <r>
    <x v="1"/>
    <x v="1"/>
    <x v="0"/>
    <x v="28"/>
    <x v="3"/>
    <n v="27707"/>
    <x v="0"/>
    <x v="1"/>
    <x v="12"/>
    <n v="200.98400000000001"/>
    <n v="7"/>
    <n v="0.2"/>
    <n v="62.807499999999997"/>
  </r>
  <r>
    <x v="2"/>
    <x v="2"/>
    <x v="0"/>
    <x v="22"/>
    <x v="10"/>
    <n v="60623"/>
    <x v="2"/>
    <x v="1"/>
    <x v="4"/>
    <n v="230.376"/>
    <n v="3"/>
    <n v="0.2"/>
    <n v="-48.954900000000002"/>
  </r>
  <r>
    <x v="0"/>
    <x v="0"/>
    <x v="0"/>
    <x v="29"/>
    <x v="20"/>
    <n v="29203"/>
    <x v="0"/>
    <x v="0"/>
    <x v="1"/>
    <n v="301.95999999999998"/>
    <n v="2"/>
    <n v="0"/>
    <n v="33.215600000000002"/>
  </r>
  <r>
    <x v="1"/>
    <x v="0"/>
    <x v="0"/>
    <x v="30"/>
    <x v="11"/>
    <n v="55901"/>
    <x v="2"/>
    <x v="2"/>
    <x v="11"/>
    <n v="19.989999999999998"/>
    <n v="1"/>
    <n v="0"/>
    <n v="6.7965999999999998"/>
  </r>
  <r>
    <x v="1"/>
    <x v="0"/>
    <x v="0"/>
    <x v="30"/>
    <x v="11"/>
    <n v="55901"/>
    <x v="2"/>
    <x v="1"/>
    <x v="2"/>
    <n v="6.16"/>
    <n v="2"/>
    <n v="0"/>
    <n v="2.9567999999999999"/>
  </r>
  <r>
    <x v="0"/>
    <x v="2"/>
    <x v="0"/>
    <x v="12"/>
    <x v="5"/>
    <n v="77095"/>
    <x v="2"/>
    <x v="1"/>
    <x v="4"/>
    <n v="158.36799999999999"/>
    <n v="7"/>
    <n v="0.2"/>
    <n v="13.857200000000001"/>
  </r>
  <r>
    <x v="1"/>
    <x v="1"/>
    <x v="0"/>
    <x v="1"/>
    <x v="1"/>
    <n v="90036"/>
    <x v="1"/>
    <x v="1"/>
    <x v="6"/>
    <n v="20.100000000000001"/>
    <n v="3"/>
    <n v="0"/>
    <n v="6.633"/>
  </r>
  <r>
    <x v="1"/>
    <x v="1"/>
    <x v="0"/>
    <x v="1"/>
    <x v="1"/>
    <n v="90036"/>
    <x v="1"/>
    <x v="2"/>
    <x v="7"/>
    <n v="73.584000000000003"/>
    <n v="2"/>
    <n v="0.2"/>
    <n v="8.2782"/>
  </r>
  <r>
    <x v="1"/>
    <x v="1"/>
    <x v="0"/>
    <x v="1"/>
    <x v="1"/>
    <n v="90036"/>
    <x v="1"/>
    <x v="1"/>
    <x v="10"/>
    <n v="6.48"/>
    <n v="1"/>
    <n v="0"/>
    <n v="3.1103999999999998"/>
  </r>
  <r>
    <x v="0"/>
    <x v="0"/>
    <x v="0"/>
    <x v="31"/>
    <x v="11"/>
    <n v="55407"/>
    <x v="2"/>
    <x v="1"/>
    <x v="10"/>
    <n v="12.96"/>
    <n v="2"/>
    <n v="0"/>
    <n v="6.2207999999999997"/>
  </r>
  <r>
    <x v="0"/>
    <x v="0"/>
    <x v="0"/>
    <x v="31"/>
    <x v="11"/>
    <n v="55407"/>
    <x v="2"/>
    <x v="0"/>
    <x v="5"/>
    <n v="53.34"/>
    <n v="3"/>
    <n v="0"/>
    <n v="16.535399999999999"/>
  </r>
  <r>
    <x v="0"/>
    <x v="0"/>
    <x v="0"/>
    <x v="31"/>
    <x v="11"/>
    <n v="55407"/>
    <x v="2"/>
    <x v="1"/>
    <x v="8"/>
    <n v="32.96"/>
    <n v="2"/>
    <n v="0"/>
    <n v="16.150400000000001"/>
  </r>
  <r>
    <x v="1"/>
    <x v="2"/>
    <x v="0"/>
    <x v="32"/>
    <x v="21"/>
    <n v="97206"/>
    <x v="1"/>
    <x v="1"/>
    <x v="8"/>
    <n v="5.6820000000000004"/>
    <n v="1"/>
    <n v="0.7"/>
    <n v="-3.7879999999999998"/>
  </r>
  <r>
    <x v="0"/>
    <x v="2"/>
    <x v="0"/>
    <x v="20"/>
    <x v="15"/>
    <n v="10009"/>
    <x v="3"/>
    <x v="0"/>
    <x v="5"/>
    <n v="96.53"/>
    <n v="7"/>
    <n v="0"/>
    <n v="40.5426"/>
  </r>
  <r>
    <x v="2"/>
    <x v="0"/>
    <x v="0"/>
    <x v="8"/>
    <x v="1"/>
    <n v="94122"/>
    <x v="1"/>
    <x v="1"/>
    <x v="8"/>
    <n v="51.311999999999998"/>
    <n v="3"/>
    <n v="0.2"/>
    <n v="17.959199999999999"/>
  </r>
  <r>
    <x v="1"/>
    <x v="1"/>
    <x v="0"/>
    <x v="33"/>
    <x v="11"/>
    <n v="55106"/>
    <x v="2"/>
    <x v="1"/>
    <x v="9"/>
    <n v="77.88"/>
    <n v="6"/>
    <n v="0"/>
    <n v="22.58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50293-29FE-4DD2-8BF7-C276F6BCD7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13">
    <pivotField showAll="0"/>
    <pivotField showAll="0"/>
    <pivotField showAll="0">
      <items count="2">
        <item x="0"/>
        <item t="default"/>
      </items>
    </pivotField>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8053D2-9B4E-43B3-9301-608318184A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3">
    <pivotField showAll="0"/>
    <pivotField showAll="0"/>
    <pivotField showAll="0"/>
    <pivotField showAll="0"/>
    <pivotField showAll="0"/>
    <pivotField showAll="0"/>
    <pivotField showAll="0"/>
    <pivotField showAll="0">
      <items count="4">
        <item x="0"/>
        <item x="1"/>
        <item x="2"/>
        <item t="default"/>
      </items>
    </pivotField>
    <pivotField showAll="0"/>
    <pivotField dataField="1" showAll="0"/>
    <pivotField showAll="0"/>
    <pivotField showAll="0"/>
    <pivotField showAll="0"/>
  </pivotFields>
  <rowItems count="1">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891260-6EB0-4C6D-A7DA-945487D46A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3">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s>
  <rowItems count="1">
    <i/>
  </rowItems>
  <colItems count="1">
    <i/>
  </colItems>
  <dataFields count="1">
    <dataField name="Average of Discount" fld="11" subtotal="average" baseField="0" baseItem="0"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2B0A6-CBCC-4591-8E58-D3011F3A91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3">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dataField="1" showAll="0"/>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2E1B24-1F0D-47E5-8AB2-FA8449DBF8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4:C8" firstHeaderRow="1" firstDataRow="1" firstDataCol="1"/>
  <pivotFields count="13">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8">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 count="1" selected="0">
            <x v="0"/>
          </reference>
        </references>
      </pivotArea>
    </chartFormat>
    <chartFormat chart="15" format="14">
      <pivotArea type="data" outline="0" fieldPosition="0">
        <references count="2">
          <reference field="4294967294" count="1" selected="0">
            <x v="0"/>
          </reference>
          <reference field="1" count="1" selected="0">
            <x v="1"/>
          </reference>
        </references>
      </pivotArea>
    </chartFormat>
    <chartFormat chart="15" format="1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8B6285-4323-4D44-8319-AA519BA1F22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B5:C27" firstHeaderRow="1" firstDataRow="1" firstDataCol="1"/>
  <pivotFields count="13">
    <pivotField showAll="0"/>
    <pivotField showAll="0"/>
    <pivotField showAll="0">
      <items count="2">
        <item x="0"/>
        <item t="default"/>
      </items>
    </pivotField>
    <pivotField showAll="0">
      <items count="35">
        <item x="22"/>
        <item x="29"/>
        <item x="3"/>
        <item x="27"/>
        <item x="18"/>
        <item x="28"/>
        <item x="16"/>
        <item x="2"/>
        <item x="5"/>
        <item x="9"/>
        <item x="23"/>
        <item x="0"/>
        <item x="12"/>
        <item x="25"/>
        <item x="1"/>
        <item x="6"/>
        <item x="15"/>
        <item x="26"/>
        <item x="31"/>
        <item x="14"/>
        <item x="19"/>
        <item x="20"/>
        <item x="11"/>
        <item x="10"/>
        <item x="32"/>
        <item x="13"/>
        <item x="30"/>
        <item x="33"/>
        <item x="8"/>
        <item x="4"/>
        <item x="24"/>
        <item x="21"/>
        <item x="7"/>
        <item x="17"/>
        <item t="default"/>
      </items>
    </pivotField>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showAll="0"/>
    <pivotField showAll="0">
      <items count="4">
        <item x="0"/>
        <item x="1"/>
        <item x="2"/>
        <item t="default"/>
      </items>
    </pivotField>
    <pivotField showAll="0"/>
    <pivotField dataField="1"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Sum of Sales" fld="9"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FB0F20-5985-4167-B8A4-1CEB56740E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5:C9" firstHeaderRow="1" firstDataRow="1" firstDataCol="1"/>
  <pivotFields count="13">
    <pivotField showAll="0"/>
    <pivotField showAll="0"/>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numFmtId="44"/>
  </dataFields>
  <formats count="2">
    <format dxfId="4">
      <pivotArea outline="0" collapsedLevelsAreSubtotals="1" fieldPosition="0"/>
    </format>
    <format dxfId="3">
      <pivotArea dataOnly="0" labelOnly="1" outline="0" axis="axisValues" fieldPosition="0"/>
    </format>
  </formats>
  <chartFormats count="9">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0" format="12">
      <pivotArea type="data" outline="0" fieldPosition="0">
        <references count="2">
          <reference field="4294967294" count="1" selected="0">
            <x v="0"/>
          </reference>
          <reference field="7" count="1" selected="0">
            <x v="1"/>
          </reference>
        </references>
      </pivotArea>
    </chartFormat>
    <chartFormat chart="10" format="13">
      <pivotArea type="data" outline="0" fieldPosition="0">
        <references count="2">
          <reference field="4294967294" count="1" selected="0">
            <x v="0"/>
          </reference>
          <reference field="7" count="1" selected="0">
            <x v="2"/>
          </reference>
        </references>
      </pivotArea>
    </chartFormat>
    <chartFormat chart="10" format="14">
      <pivotArea type="data" outline="0" fieldPosition="0">
        <references count="1">
          <reference field="4294967294" count="1" selected="0">
            <x v="0"/>
          </reference>
        </references>
      </pivotArea>
    </chartFormat>
    <chartFormat chart="24" format="19" series="1">
      <pivotArea type="data" outline="0" fieldPosition="0">
        <references count="1">
          <reference field="4294967294" count="1" selected="0">
            <x v="0"/>
          </reference>
        </references>
      </pivotArea>
    </chartFormat>
    <chartFormat chart="24" format="20">
      <pivotArea type="data" outline="0" fieldPosition="0">
        <references count="2">
          <reference field="4294967294" count="1" selected="0">
            <x v="0"/>
          </reference>
          <reference field="7" count="1" selected="0">
            <x v="0"/>
          </reference>
        </references>
      </pivotArea>
    </chartFormat>
    <chartFormat chart="24" format="21">
      <pivotArea type="data" outline="0" fieldPosition="0">
        <references count="2">
          <reference field="4294967294" count="1" selected="0">
            <x v="0"/>
          </reference>
          <reference field="7" count="1" selected="0">
            <x v="1"/>
          </reference>
        </references>
      </pivotArea>
    </chartFormat>
    <chartFormat chart="24" format="2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DFAE86-99D4-4656-9F31-63B15B2CAF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C10" firstHeaderRow="1" firstDataRow="1" firstDataCol="1"/>
  <pivotFields count="13">
    <pivotField showAll="0"/>
    <pivotField showAll="0"/>
    <pivotField showAll="0"/>
    <pivotField showAll="0"/>
    <pivotField showAll="0"/>
    <pivotField showAll="0"/>
    <pivotField axis="axisRow" showAll="0">
      <items count="5">
        <item x="0"/>
        <item x="1"/>
        <item x="3"/>
        <item x="2"/>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6" baseItem="0" numFmtId="164"/>
  </dataFields>
  <chartFormats count="2">
    <chartFormat chart="4"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8FD621-6B96-47C2-B56E-7529768EEB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5:C9" firstHeaderRow="1" firstDataRow="1" firstDataCol="1"/>
  <pivotFields count="13">
    <pivotField showAll="0"/>
    <pivotField showAll="0"/>
    <pivotField showAll="0"/>
    <pivotField showAll="0"/>
    <pivotField showAll="0">
      <items count="23">
        <item x="19"/>
        <item x="16"/>
        <item x="1"/>
        <item x="13"/>
        <item x="2"/>
        <item x="10"/>
        <item x="14"/>
        <item x="0"/>
        <item x="12"/>
        <item x="11"/>
        <item x="8"/>
        <item x="15"/>
        <item x="3"/>
        <item x="21"/>
        <item x="9"/>
        <item x="20"/>
        <item x="18"/>
        <item x="5"/>
        <item x="7"/>
        <item x="17"/>
        <item x="4"/>
        <item x="6"/>
        <item t="default"/>
      </items>
    </pivotField>
    <pivotField showAll="0"/>
    <pivotField showAll="0"/>
    <pivotField axis="axisRow" showAll="0">
      <items count="4">
        <item x="0"/>
        <item x="1"/>
        <item x="2"/>
        <item t="default"/>
      </items>
    </pivotField>
    <pivotField showAll="0">
      <items count="15">
        <item x="11"/>
        <item x="9"/>
        <item x="6"/>
        <item x="8"/>
        <item x="0"/>
        <item x="1"/>
        <item x="12"/>
        <item x="13"/>
        <item x="5"/>
        <item x="2"/>
        <item x="10"/>
        <item x="7"/>
        <item x="4"/>
        <item x="3"/>
        <item t="default"/>
      </items>
    </pivotField>
    <pivotField showAll="0"/>
    <pivotField dataField="1" showAll="0"/>
    <pivotField showAll="0"/>
    <pivotField showAll="0"/>
  </pivotFields>
  <rowFields count="1">
    <field x="7"/>
  </rowFields>
  <rowItems count="4">
    <i>
      <x/>
    </i>
    <i>
      <x v="1"/>
    </i>
    <i>
      <x v="2"/>
    </i>
    <i t="grand">
      <x/>
    </i>
  </rowItems>
  <colItems count="1">
    <i/>
  </colItems>
  <dataFields count="1">
    <dataField name="Count of Quantity" fld="10" subtotal="count" baseField="7" baseItem="0"/>
  </dataFields>
  <chartFormats count="2">
    <chartFormat chart="21" format="1"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FA8F21-67DD-4B7C-A155-BB7C614064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C12" firstHeaderRow="1" firstDataRow="1" firstDataCol="1"/>
  <pivotFields count="13">
    <pivotField showAll="0"/>
    <pivotField showAll="0"/>
    <pivotField showAll="0"/>
    <pivotField showAll="0"/>
    <pivotField showAll="0"/>
    <pivotField showAll="0"/>
    <pivotField showAll="0"/>
    <pivotField showAll="0"/>
    <pivotField axis="axisRow" showAll="0" measureFilter="1" sortType="descending">
      <items count="15">
        <item x="11"/>
        <item x="9"/>
        <item x="6"/>
        <item x="8"/>
        <item x="0"/>
        <item x="1"/>
        <item x="12"/>
        <item x="13"/>
        <item x="5"/>
        <item x="2"/>
        <item x="10"/>
        <item x="7"/>
        <item x="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6">
    <i>
      <x v="11"/>
    </i>
    <i>
      <x v="4"/>
    </i>
    <i>
      <x v="13"/>
    </i>
    <i>
      <x v="5"/>
    </i>
    <i>
      <x v="12"/>
    </i>
    <i t="grand">
      <x/>
    </i>
  </rowItems>
  <colItems count="1">
    <i/>
  </colItems>
  <dataFields count="1">
    <dataField name="Sum of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BE2A89-8CBE-490D-9C91-70598F70F5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5:D11" firstHeaderRow="1" firstDataRow="1" firstDataCol="1"/>
  <pivotFields count="13">
    <pivotField showAll="0"/>
    <pivotField showAll="0"/>
    <pivotField showAll="0"/>
    <pivotField axis="axisRow" showAll="0" measureFilter="1" sortType="descending">
      <items count="35">
        <item x="22"/>
        <item x="29"/>
        <item x="3"/>
        <item x="27"/>
        <item x="18"/>
        <item x="28"/>
        <item x="16"/>
        <item x="2"/>
        <item x="5"/>
        <item x="9"/>
        <item x="23"/>
        <item x="0"/>
        <item x="12"/>
        <item x="25"/>
        <item x="1"/>
        <item x="6"/>
        <item x="15"/>
        <item x="26"/>
        <item x="31"/>
        <item x="14"/>
        <item x="19"/>
        <item x="20"/>
        <item x="11"/>
        <item x="10"/>
        <item x="32"/>
        <item x="13"/>
        <item x="30"/>
        <item x="33"/>
        <item x="8"/>
        <item x="4"/>
        <item x="24"/>
        <item x="21"/>
        <item x="7"/>
        <item x="17"/>
        <item t="default"/>
      </items>
      <autoSortScope>
        <pivotArea dataOnly="0" outline="0" fieldPosition="0">
          <references count="1">
            <reference field="4294967294" count="1" selected="0">
              <x v="0"/>
            </reference>
          </references>
        </pivotArea>
      </autoSortScope>
    </pivotField>
    <pivotField showAll="0">
      <items count="23">
        <item x="19"/>
        <item x="16"/>
        <item x="1"/>
        <item x="13"/>
        <item x="2"/>
        <item x="10"/>
        <item x="14"/>
        <item x="0"/>
        <item x="12"/>
        <item x="11"/>
        <item x="8"/>
        <item x="15"/>
        <item x="3"/>
        <item x="21"/>
        <item x="9"/>
        <item x="20"/>
        <item x="18"/>
        <item x="5"/>
        <item x="7"/>
        <item x="17"/>
        <item x="4"/>
        <item x="6"/>
        <item t="default"/>
      </items>
    </pivotField>
    <pivotField showAll="0"/>
    <pivotField showAll="0"/>
    <pivotField showAll="0"/>
    <pivotField showAll="0"/>
    <pivotField dataField="1" showAll="0"/>
    <pivotField showAll="0"/>
    <pivotField showAll="0"/>
    <pivotField showAll="0"/>
  </pivotFields>
  <rowFields count="1">
    <field x="3"/>
  </rowFields>
  <rowItems count="6">
    <i>
      <x v="14"/>
    </i>
    <i>
      <x v="23"/>
    </i>
    <i>
      <x v="12"/>
    </i>
    <i>
      <x v="25"/>
    </i>
    <i>
      <x v="10"/>
    </i>
    <i t="grand">
      <x/>
    </i>
  </rowItems>
  <colItems count="1">
    <i/>
  </colItems>
  <dataFields count="1">
    <dataField name="Sum of Sales" fld="9" baseField="0" baseItem="0" numFmtId="164"/>
  </dataFields>
  <chartFormats count="2">
    <chartFormat chart="2"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40B4F2-DE7D-4608-A111-110F1C3833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9" firstHeaderRow="1" firstDataRow="1" firstDataCol="1"/>
  <pivotFields count="13">
    <pivotField axis="axisRow" showAll="0">
      <items count="4">
        <item x="2"/>
        <item x="0"/>
        <item x="1"/>
        <item t="default"/>
      </items>
    </pivotField>
    <pivotField showAll="0"/>
    <pivotField showAll="0"/>
    <pivotField showAll="0"/>
    <pivotField showAll="0"/>
    <pivotField showAll="0"/>
    <pivotField showAll="0">
      <items count="5">
        <item x="0"/>
        <item x="1"/>
        <item x="3"/>
        <item x="2"/>
        <item t="default"/>
      </items>
    </pivotField>
    <pivotField showAll="0">
      <items count="4">
        <item x="0"/>
        <item x="1"/>
        <item x="2"/>
        <item t="default"/>
      </items>
    </pivotField>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BDED33-C89F-48D4-AEF0-31F0F78880CC}" sourceName="Category">
  <pivotTables>
    <pivotTable tabId="8" name="PivotTable4"/>
    <pivotTable tabId="4" name="PivotTable1"/>
    <pivotTable tabId="12" name="PivotTable2"/>
    <pivotTable tabId="6" name="PivotTable3"/>
    <pivotTable tabId="16" name="PivotTable1"/>
    <pivotTable tabId="14" name="PivotTable3"/>
    <pivotTable tabId="16" name="PivotTable2"/>
    <pivotTable tabId="16" name="PivotTable3"/>
  </pivotTables>
  <data>
    <tabular pivotCacheId="1166659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FB20B1D-2E2A-4470-837F-EA5F5A9D37A3}" sourceName="State">
  <pivotTables>
    <pivotTable tabId="5" name="PivotTable2"/>
  </pivotTables>
  <data>
    <tabular pivotCacheId="116665978">
      <items count="22">
        <i x="19" s="1"/>
        <i x="16" s="1"/>
        <i x="1" s="1"/>
        <i x="13" s="1"/>
        <i x="2" s="1"/>
        <i x="10" s="1"/>
        <i x="14" s="1"/>
        <i x="0" s="1"/>
        <i x="12" s="1"/>
        <i x="11" s="1"/>
        <i x="8" s="1"/>
        <i x="15" s="1"/>
        <i x="3" s="1"/>
        <i x="21" s="1"/>
        <i x="9" s="1"/>
        <i x="20" s="1"/>
        <i x="18" s="1"/>
        <i x="5" s="1"/>
        <i x="7" s="1"/>
        <i x="17"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1B5126-7905-4747-9DDA-712D6AF1BDCE}" sourceName="Region">
  <pivotTables>
    <pivotTable tabId="6" name="PivotTable3"/>
  </pivotTables>
  <data>
    <tabular pivotCacheId="11666597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B3E269-BEBD-47B0-8337-D66A1EDE937E}" cache="Slicer_Category" caption="Category" style="SlicerStyleLight2" rowHeight="234950"/>
  <slicer name="State" xr10:uid="{103107BC-7B9C-4308-882F-57FE05100AEA}" cache="Slicer_State" caption="State" style="SlicerStyleLight2" rowHeight="234950"/>
  <slicer name="Region" xr10:uid="{AFD0CEBA-C51E-4822-8E13-898692DB209C}" cache="Slicer_Region" caption="Region"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4C00F9-4732-4574-9E65-C6226B1FA491}" name="Table1" displayName="Table1" ref="A5:M103" totalsRowShown="0">
  <autoFilter ref="A5:M103" xr:uid="{024C00F9-4732-4574-9E65-C6226B1FA491}"/>
  <tableColumns count="13">
    <tableColumn id="1" xr3:uid="{CF39574A-3D77-488B-9A0D-AF912A24B4C8}" name="Ship Mode"/>
    <tableColumn id="2" xr3:uid="{8E0AA64D-09EB-43F7-9083-2303DC7F01C0}" name="Segment"/>
    <tableColumn id="3" xr3:uid="{AB269D45-BA49-4AFA-918D-0DCA24B25FB3}" name="Country"/>
    <tableColumn id="4" xr3:uid="{B9461419-0A99-42A9-A497-FC260A55753C}" name="City"/>
    <tableColumn id="5" xr3:uid="{D37CC5CD-B66A-45B7-9301-9C0DFB5D69F6}" name="State"/>
    <tableColumn id="6" xr3:uid="{C009A46A-9EEE-4B0F-AB14-E89406DC5169}" name="Postal Code"/>
    <tableColumn id="7" xr3:uid="{4830A620-6A77-4B6B-8537-3E31A5FAE240}" name="Region"/>
    <tableColumn id="8" xr3:uid="{4B1D3FAD-7318-4471-B036-5DE223DFCA6D}" name="Category"/>
    <tableColumn id="9" xr3:uid="{0D5978DA-67D5-4EB2-AE59-B957A90AA96C}" name="Sub-Category"/>
    <tableColumn id="10" xr3:uid="{E9DF28F1-2B89-49E0-82C4-D55B0D72229D}" name="Sales" dataDxfId="6"/>
    <tableColumn id="11" xr3:uid="{A7E30913-4176-4855-8D64-6D7C1BEB531C}" name="Quantity"/>
    <tableColumn id="12" xr3:uid="{0F736A4A-589D-4667-9CF0-6CEFF566F9AD}" name="Discount"/>
    <tableColumn id="13" xr3:uid="{41964291-4CA1-4BF1-8E45-292DF1F1CFB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D98C-F226-40F2-9B47-29124E19AC4B}">
  <dimension ref="A1:X34"/>
  <sheetViews>
    <sheetView showGridLines="0" showRowColHeaders="0" tabSelected="1" zoomScaleNormal="100" workbookViewId="0">
      <selection activeCell="W8" sqref="W8"/>
    </sheetView>
  </sheetViews>
  <sheetFormatPr defaultRowHeight="14.4" x14ac:dyDescent="0.3"/>
  <cols>
    <col min="1" max="16384" width="8.88671875" style="6"/>
  </cols>
  <sheetData>
    <row r="1" spans="1:24" x14ac:dyDescent="0.3">
      <c r="A1" s="11" t="s">
        <v>101</v>
      </c>
      <c r="B1" s="12"/>
      <c r="C1" s="12"/>
      <c r="D1" s="12"/>
      <c r="E1" s="12"/>
      <c r="F1" s="12"/>
      <c r="G1" s="12"/>
      <c r="H1" s="12"/>
      <c r="I1" s="12"/>
      <c r="J1" s="12"/>
      <c r="K1" s="12"/>
      <c r="L1" s="12"/>
      <c r="M1" s="12"/>
      <c r="N1" s="12"/>
      <c r="O1" s="12"/>
      <c r="P1" s="12"/>
      <c r="Q1" s="12"/>
      <c r="R1" s="12"/>
      <c r="S1" s="12"/>
      <c r="T1" s="12"/>
      <c r="U1" s="12"/>
      <c r="V1" s="12"/>
      <c r="W1" s="12"/>
      <c r="X1" s="12"/>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row r="17" s="6" customFormat="1" x14ac:dyDescent="0.3"/>
    <row r="18" s="6" customFormat="1" x14ac:dyDescent="0.3"/>
    <row r="19" s="6" customFormat="1" x14ac:dyDescent="0.3"/>
    <row r="20" s="6" customFormat="1" x14ac:dyDescent="0.3"/>
    <row r="21" s="6" customFormat="1" x14ac:dyDescent="0.3"/>
    <row r="22" s="6" customFormat="1" x14ac:dyDescent="0.3"/>
    <row r="23" s="6" customFormat="1" x14ac:dyDescent="0.3"/>
    <row r="24" s="6" customFormat="1" x14ac:dyDescent="0.3"/>
    <row r="25" s="6" customFormat="1" x14ac:dyDescent="0.3"/>
    <row r="26" s="6" customFormat="1" x14ac:dyDescent="0.3"/>
    <row r="27" s="6" customFormat="1" x14ac:dyDescent="0.3"/>
    <row r="28" s="6" customFormat="1" x14ac:dyDescent="0.3"/>
    <row r="29" s="6" customFormat="1" x14ac:dyDescent="0.3"/>
    <row r="30" s="6" customFormat="1" x14ac:dyDescent="0.3"/>
    <row r="31" s="6" customFormat="1" x14ac:dyDescent="0.3"/>
    <row r="32" s="6" customFormat="1" x14ac:dyDescent="0.3"/>
    <row r="33" s="6" customFormat="1" x14ac:dyDescent="0.3"/>
    <row r="34" s="6" customFormat="1" x14ac:dyDescent="0.3"/>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F50E-BDE2-4ACB-8C10-C2A267C2825E}">
  <dimension ref="A1:M103"/>
  <sheetViews>
    <sheetView topLeftCell="A6" workbookViewId="0">
      <selection activeCell="C14" sqref="C14"/>
    </sheetView>
  </sheetViews>
  <sheetFormatPr defaultRowHeight="14.4" x14ac:dyDescent="0.3"/>
  <cols>
    <col min="1" max="1" width="12.77734375" bestFit="1" customWidth="1"/>
    <col min="2" max="2" width="11.33203125" bestFit="1" customWidth="1"/>
    <col min="3" max="3" width="11.88671875" bestFit="1" customWidth="1"/>
    <col min="4" max="4" width="13.88671875" bestFit="1" customWidth="1"/>
    <col min="5" max="6" width="13.109375" bestFit="1" customWidth="1"/>
    <col min="7" max="7" width="9" bestFit="1" customWidth="1"/>
    <col min="8" max="8" width="13.109375" bestFit="1" customWidth="1"/>
    <col min="9" max="9" width="14.6640625" bestFit="1" customWidth="1"/>
    <col min="10" max="10" width="9" bestFit="1" customWidth="1"/>
    <col min="11" max="12" width="10.5546875" bestFit="1" customWidth="1"/>
    <col min="13" max="13" width="10.6640625" bestFit="1" customWidth="1"/>
  </cols>
  <sheetData>
    <row r="1" spans="1:13" x14ac:dyDescent="0.3">
      <c r="A1" s="13" t="s">
        <v>103</v>
      </c>
      <c r="B1" s="14"/>
      <c r="C1" s="14"/>
      <c r="D1" s="14"/>
      <c r="E1" s="14"/>
      <c r="F1" s="14"/>
      <c r="G1" s="14"/>
      <c r="H1" s="14"/>
      <c r="I1" s="14"/>
      <c r="J1" s="14"/>
      <c r="K1" s="14"/>
      <c r="L1" s="14"/>
      <c r="M1" s="14"/>
    </row>
    <row r="2" spans="1:13" x14ac:dyDescent="0.3">
      <c r="A2" s="14"/>
      <c r="B2" s="14"/>
      <c r="C2" s="14"/>
      <c r="D2" s="14"/>
      <c r="E2" s="14"/>
      <c r="F2" s="14"/>
      <c r="G2" s="14"/>
      <c r="H2" s="14"/>
      <c r="I2" s="14"/>
      <c r="J2" s="14"/>
      <c r="K2" s="14"/>
      <c r="L2" s="14"/>
      <c r="M2" s="14"/>
    </row>
    <row r="3" spans="1:13" x14ac:dyDescent="0.3">
      <c r="A3" s="7"/>
      <c r="B3" s="7"/>
      <c r="C3" s="7"/>
      <c r="D3" s="7"/>
      <c r="E3" s="7"/>
      <c r="F3" s="7"/>
      <c r="G3" s="7"/>
      <c r="H3" s="7"/>
      <c r="I3" s="7"/>
      <c r="J3" s="7"/>
      <c r="K3" s="7"/>
      <c r="L3" s="7"/>
      <c r="M3" s="7"/>
    </row>
    <row r="5" spans="1:13" x14ac:dyDescent="0.3">
      <c r="A5" t="s">
        <v>0</v>
      </c>
      <c r="B5" t="s">
        <v>1</v>
      </c>
      <c r="C5" t="s">
        <v>2</v>
      </c>
      <c r="D5" t="s">
        <v>3</v>
      </c>
      <c r="E5" t="s">
        <v>4</v>
      </c>
      <c r="F5" t="s">
        <v>5</v>
      </c>
      <c r="G5" t="s">
        <v>6</v>
      </c>
      <c r="H5" t="s">
        <v>7</v>
      </c>
      <c r="I5" t="s">
        <v>8</v>
      </c>
      <c r="J5" s="3" t="s">
        <v>9</v>
      </c>
      <c r="K5" t="s">
        <v>10</v>
      </c>
      <c r="L5" t="s">
        <v>11</v>
      </c>
      <c r="M5" t="s">
        <v>12</v>
      </c>
    </row>
    <row r="6" spans="1:13" x14ac:dyDescent="0.3">
      <c r="A6" t="s">
        <v>13</v>
      </c>
      <c r="B6" t="s">
        <v>14</v>
      </c>
      <c r="C6" t="s">
        <v>15</v>
      </c>
      <c r="D6" t="s">
        <v>16</v>
      </c>
      <c r="E6" t="s">
        <v>17</v>
      </c>
      <c r="F6">
        <v>42420</v>
      </c>
      <c r="G6" t="s">
        <v>18</v>
      </c>
      <c r="H6" t="s">
        <v>19</v>
      </c>
      <c r="I6" t="s">
        <v>20</v>
      </c>
      <c r="J6" s="3">
        <v>261.95999999999998</v>
      </c>
      <c r="K6">
        <v>2</v>
      </c>
      <c r="L6">
        <v>0</v>
      </c>
      <c r="M6">
        <v>41.913600000000002</v>
      </c>
    </row>
    <row r="7" spans="1:13" x14ac:dyDescent="0.3">
      <c r="A7" t="s">
        <v>13</v>
      </c>
      <c r="B7" t="s">
        <v>14</v>
      </c>
      <c r="C7" t="s">
        <v>15</v>
      </c>
      <c r="D7" t="s">
        <v>16</v>
      </c>
      <c r="E7" t="s">
        <v>17</v>
      </c>
      <c r="F7">
        <v>42420</v>
      </c>
      <c r="G7" t="s">
        <v>18</v>
      </c>
      <c r="H7" t="s">
        <v>19</v>
      </c>
      <c r="I7" t="s">
        <v>21</v>
      </c>
      <c r="J7" s="3">
        <v>731.94</v>
      </c>
      <c r="K7">
        <v>3</v>
      </c>
      <c r="L7">
        <v>0</v>
      </c>
      <c r="M7">
        <v>219.58199999999999</v>
      </c>
    </row>
    <row r="8" spans="1:13" x14ac:dyDescent="0.3">
      <c r="A8" t="s">
        <v>13</v>
      </c>
      <c r="B8" t="s">
        <v>22</v>
      </c>
      <c r="C8" t="s">
        <v>15</v>
      </c>
      <c r="D8" t="s">
        <v>23</v>
      </c>
      <c r="E8" t="s">
        <v>24</v>
      </c>
      <c r="F8">
        <v>90036</v>
      </c>
      <c r="G8" t="s">
        <v>25</v>
      </c>
      <c r="H8" t="s">
        <v>26</v>
      </c>
      <c r="I8" t="s">
        <v>27</v>
      </c>
      <c r="J8" s="3">
        <v>14.62</v>
      </c>
      <c r="K8">
        <v>2</v>
      </c>
      <c r="L8">
        <v>0</v>
      </c>
      <c r="M8">
        <v>6.8714000000000004</v>
      </c>
    </row>
    <row r="9" spans="1:13" x14ac:dyDescent="0.3">
      <c r="A9" t="s">
        <v>28</v>
      </c>
      <c r="B9" t="s">
        <v>14</v>
      </c>
      <c r="C9" t="s">
        <v>15</v>
      </c>
      <c r="D9" t="s">
        <v>29</v>
      </c>
      <c r="E9" t="s">
        <v>30</v>
      </c>
      <c r="F9">
        <v>33311</v>
      </c>
      <c r="G9" t="s">
        <v>18</v>
      </c>
      <c r="H9" t="s">
        <v>19</v>
      </c>
      <c r="I9" t="s">
        <v>31</v>
      </c>
      <c r="J9" s="3">
        <v>957.57749999999999</v>
      </c>
      <c r="K9">
        <v>5</v>
      </c>
      <c r="L9">
        <v>0.45</v>
      </c>
      <c r="M9">
        <v>-383.03100000000001</v>
      </c>
    </row>
    <row r="10" spans="1:13" x14ac:dyDescent="0.3">
      <c r="A10" t="s">
        <v>28</v>
      </c>
      <c r="B10" t="s">
        <v>14</v>
      </c>
      <c r="C10" t="s">
        <v>15</v>
      </c>
      <c r="D10" t="s">
        <v>29</v>
      </c>
      <c r="E10" t="s">
        <v>30</v>
      </c>
      <c r="F10">
        <v>33311</v>
      </c>
      <c r="G10" t="s">
        <v>18</v>
      </c>
      <c r="H10" t="s">
        <v>26</v>
      </c>
      <c r="I10" t="s">
        <v>32</v>
      </c>
      <c r="J10" s="3">
        <v>22.367999999999999</v>
      </c>
      <c r="K10">
        <v>2</v>
      </c>
      <c r="L10">
        <v>0.2</v>
      </c>
      <c r="M10">
        <v>2.5164</v>
      </c>
    </row>
    <row r="11" spans="1:13" x14ac:dyDescent="0.3">
      <c r="A11" t="s">
        <v>28</v>
      </c>
      <c r="B11" t="s">
        <v>14</v>
      </c>
      <c r="C11" t="s">
        <v>15</v>
      </c>
      <c r="D11" t="s">
        <v>23</v>
      </c>
      <c r="E11" t="s">
        <v>24</v>
      </c>
      <c r="F11">
        <v>90032</v>
      </c>
      <c r="G11" t="s">
        <v>25</v>
      </c>
      <c r="H11" t="s">
        <v>19</v>
      </c>
      <c r="I11" t="s">
        <v>33</v>
      </c>
      <c r="J11" s="3">
        <v>48.86</v>
      </c>
      <c r="K11">
        <v>7</v>
      </c>
      <c r="L11">
        <v>0</v>
      </c>
      <c r="M11">
        <v>14.1694</v>
      </c>
    </row>
    <row r="12" spans="1:13" x14ac:dyDescent="0.3">
      <c r="A12" t="s">
        <v>28</v>
      </c>
      <c r="B12" t="s">
        <v>14</v>
      </c>
      <c r="C12" t="s">
        <v>15</v>
      </c>
      <c r="D12" t="s">
        <v>23</v>
      </c>
      <c r="E12" t="s">
        <v>24</v>
      </c>
      <c r="F12">
        <v>90032</v>
      </c>
      <c r="G12" t="s">
        <v>25</v>
      </c>
      <c r="H12" t="s">
        <v>26</v>
      </c>
      <c r="I12" t="s">
        <v>34</v>
      </c>
      <c r="J12" s="3">
        <v>7.28</v>
      </c>
      <c r="K12">
        <v>4</v>
      </c>
      <c r="L12">
        <v>0</v>
      </c>
      <c r="M12">
        <v>1.9656</v>
      </c>
    </row>
    <row r="13" spans="1:13" x14ac:dyDescent="0.3">
      <c r="A13" t="s">
        <v>28</v>
      </c>
      <c r="B13" t="s">
        <v>14</v>
      </c>
      <c r="C13" t="s">
        <v>15</v>
      </c>
      <c r="D13" t="s">
        <v>23</v>
      </c>
      <c r="E13" t="s">
        <v>24</v>
      </c>
      <c r="F13">
        <v>90032</v>
      </c>
      <c r="G13" t="s">
        <v>25</v>
      </c>
      <c r="H13" t="s">
        <v>35</v>
      </c>
      <c r="I13" t="s">
        <v>36</v>
      </c>
      <c r="J13" s="3">
        <v>907.15200000000004</v>
      </c>
      <c r="K13">
        <v>6</v>
      </c>
      <c r="L13">
        <v>0.2</v>
      </c>
      <c r="M13">
        <v>90.715199999999996</v>
      </c>
    </row>
    <row r="14" spans="1:13" x14ac:dyDescent="0.3">
      <c r="A14" t="s">
        <v>28</v>
      </c>
      <c r="B14" t="s">
        <v>14</v>
      </c>
      <c r="C14" t="s">
        <v>15</v>
      </c>
      <c r="D14" t="s">
        <v>23</v>
      </c>
      <c r="E14" t="s">
        <v>24</v>
      </c>
      <c r="F14">
        <v>90032</v>
      </c>
      <c r="G14" t="s">
        <v>25</v>
      </c>
      <c r="H14" t="s">
        <v>26</v>
      </c>
      <c r="I14" t="s">
        <v>37</v>
      </c>
      <c r="J14" s="3">
        <v>18.504000000000001</v>
      </c>
      <c r="K14">
        <v>3</v>
      </c>
      <c r="L14">
        <v>0.2</v>
      </c>
      <c r="M14">
        <v>5.7824999999999998</v>
      </c>
    </row>
    <row r="15" spans="1:13" x14ac:dyDescent="0.3">
      <c r="A15" t="s">
        <v>28</v>
      </c>
      <c r="B15" t="s">
        <v>14</v>
      </c>
      <c r="C15" t="s">
        <v>15</v>
      </c>
      <c r="D15" t="s">
        <v>23</v>
      </c>
      <c r="E15" t="s">
        <v>24</v>
      </c>
      <c r="F15">
        <v>90032</v>
      </c>
      <c r="G15" t="s">
        <v>25</v>
      </c>
      <c r="H15" t="s">
        <v>26</v>
      </c>
      <c r="I15" t="s">
        <v>38</v>
      </c>
      <c r="J15" s="3">
        <v>114.9</v>
      </c>
      <c r="K15">
        <v>5</v>
      </c>
      <c r="L15">
        <v>0</v>
      </c>
      <c r="M15">
        <v>34.47</v>
      </c>
    </row>
    <row r="16" spans="1:13" x14ac:dyDescent="0.3">
      <c r="A16" t="s">
        <v>28</v>
      </c>
      <c r="B16" t="s">
        <v>14</v>
      </c>
      <c r="C16" t="s">
        <v>15</v>
      </c>
      <c r="D16" t="s">
        <v>23</v>
      </c>
      <c r="E16" t="s">
        <v>24</v>
      </c>
      <c r="F16">
        <v>90032</v>
      </c>
      <c r="G16" t="s">
        <v>25</v>
      </c>
      <c r="H16" t="s">
        <v>19</v>
      </c>
      <c r="I16" t="s">
        <v>31</v>
      </c>
      <c r="J16" s="3">
        <v>1706.184</v>
      </c>
      <c r="K16">
        <v>9</v>
      </c>
      <c r="L16">
        <v>0.2</v>
      </c>
      <c r="M16">
        <v>85.309200000000004</v>
      </c>
    </row>
    <row r="17" spans="1:13" x14ac:dyDescent="0.3">
      <c r="A17" t="s">
        <v>28</v>
      </c>
      <c r="B17" t="s">
        <v>14</v>
      </c>
      <c r="C17" t="s">
        <v>15</v>
      </c>
      <c r="D17" t="s">
        <v>23</v>
      </c>
      <c r="E17" t="s">
        <v>24</v>
      </c>
      <c r="F17">
        <v>90032</v>
      </c>
      <c r="G17" t="s">
        <v>25</v>
      </c>
      <c r="H17" t="s">
        <v>35</v>
      </c>
      <c r="I17" t="s">
        <v>36</v>
      </c>
      <c r="J17" s="3">
        <v>911.42399999999998</v>
      </c>
      <c r="K17">
        <v>4</v>
      </c>
      <c r="L17">
        <v>0.2</v>
      </c>
      <c r="M17">
        <v>68.356800000000007</v>
      </c>
    </row>
    <row r="18" spans="1:13" x14ac:dyDescent="0.3">
      <c r="A18" t="s">
        <v>28</v>
      </c>
      <c r="B18" t="s">
        <v>14</v>
      </c>
      <c r="C18" t="s">
        <v>15</v>
      </c>
      <c r="D18" t="s">
        <v>39</v>
      </c>
      <c r="E18" t="s">
        <v>40</v>
      </c>
      <c r="F18">
        <v>28027</v>
      </c>
      <c r="G18" t="s">
        <v>18</v>
      </c>
      <c r="H18" t="s">
        <v>26</v>
      </c>
      <c r="I18" t="s">
        <v>41</v>
      </c>
      <c r="J18" s="3">
        <v>15.552</v>
      </c>
      <c r="K18">
        <v>3</v>
      </c>
      <c r="L18">
        <v>0.2</v>
      </c>
      <c r="M18">
        <v>5.4432</v>
      </c>
    </row>
    <row r="19" spans="1:13" x14ac:dyDescent="0.3">
      <c r="A19" t="s">
        <v>28</v>
      </c>
      <c r="B19" t="s">
        <v>14</v>
      </c>
      <c r="C19" t="s">
        <v>15</v>
      </c>
      <c r="D19" t="s">
        <v>42</v>
      </c>
      <c r="E19" t="s">
        <v>43</v>
      </c>
      <c r="F19">
        <v>98103</v>
      </c>
      <c r="G19" t="s">
        <v>25</v>
      </c>
      <c r="H19" t="s">
        <v>26</v>
      </c>
      <c r="I19" t="s">
        <v>37</v>
      </c>
      <c r="J19" s="3">
        <v>407.976</v>
      </c>
      <c r="K19">
        <v>3</v>
      </c>
      <c r="L19">
        <v>0.2</v>
      </c>
      <c r="M19">
        <v>132.59219999999999</v>
      </c>
    </row>
    <row r="20" spans="1:13" x14ac:dyDescent="0.3">
      <c r="A20" t="s">
        <v>28</v>
      </c>
      <c r="B20" t="s">
        <v>44</v>
      </c>
      <c r="C20" t="s">
        <v>15</v>
      </c>
      <c r="D20" t="s">
        <v>45</v>
      </c>
      <c r="E20" t="s">
        <v>46</v>
      </c>
      <c r="F20">
        <v>76106</v>
      </c>
      <c r="G20" t="s">
        <v>47</v>
      </c>
      <c r="H20" t="s">
        <v>26</v>
      </c>
      <c r="I20" t="s">
        <v>38</v>
      </c>
      <c r="J20" s="3">
        <v>68.81</v>
      </c>
      <c r="K20">
        <v>5</v>
      </c>
      <c r="L20">
        <v>0.8</v>
      </c>
      <c r="M20">
        <v>-123.858</v>
      </c>
    </row>
    <row r="21" spans="1:13" x14ac:dyDescent="0.3">
      <c r="A21" t="s">
        <v>28</v>
      </c>
      <c r="B21" t="s">
        <v>44</v>
      </c>
      <c r="C21" t="s">
        <v>15</v>
      </c>
      <c r="D21" t="s">
        <v>45</v>
      </c>
      <c r="E21" t="s">
        <v>46</v>
      </c>
      <c r="F21">
        <v>76106</v>
      </c>
      <c r="G21" t="s">
        <v>47</v>
      </c>
      <c r="H21" t="s">
        <v>26</v>
      </c>
      <c r="I21" t="s">
        <v>37</v>
      </c>
      <c r="J21" s="3">
        <v>2.544</v>
      </c>
      <c r="K21">
        <v>3</v>
      </c>
      <c r="L21">
        <v>0.8</v>
      </c>
      <c r="M21">
        <v>-3.8159999999999998</v>
      </c>
    </row>
    <row r="22" spans="1:13" x14ac:dyDescent="0.3">
      <c r="A22" t="s">
        <v>28</v>
      </c>
      <c r="B22" t="s">
        <v>14</v>
      </c>
      <c r="C22" t="s">
        <v>15</v>
      </c>
      <c r="D22" t="s">
        <v>48</v>
      </c>
      <c r="E22" t="s">
        <v>49</v>
      </c>
      <c r="F22">
        <v>53711</v>
      </c>
      <c r="G22" t="s">
        <v>47</v>
      </c>
      <c r="H22" t="s">
        <v>26</v>
      </c>
      <c r="I22" t="s">
        <v>32</v>
      </c>
      <c r="J22" s="3">
        <v>665.88</v>
      </c>
      <c r="K22">
        <v>6</v>
      </c>
      <c r="L22">
        <v>0</v>
      </c>
      <c r="M22">
        <v>13.317600000000001</v>
      </c>
    </row>
    <row r="23" spans="1:13" x14ac:dyDescent="0.3">
      <c r="A23" t="s">
        <v>13</v>
      </c>
      <c r="B23" t="s">
        <v>14</v>
      </c>
      <c r="C23" t="s">
        <v>15</v>
      </c>
      <c r="D23" t="s">
        <v>51</v>
      </c>
      <c r="E23" t="s">
        <v>24</v>
      </c>
      <c r="F23">
        <v>94109</v>
      </c>
      <c r="G23" t="s">
        <v>25</v>
      </c>
      <c r="H23" t="s">
        <v>26</v>
      </c>
      <c r="I23" t="s">
        <v>34</v>
      </c>
      <c r="J23" s="3">
        <v>8.56</v>
      </c>
      <c r="K23">
        <v>2</v>
      </c>
      <c r="L23">
        <v>0</v>
      </c>
      <c r="M23">
        <v>2.4824000000000002</v>
      </c>
    </row>
    <row r="24" spans="1:13" x14ac:dyDescent="0.3">
      <c r="A24" t="s">
        <v>13</v>
      </c>
      <c r="B24" t="s">
        <v>14</v>
      </c>
      <c r="C24" t="s">
        <v>15</v>
      </c>
      <c r="D24" t="s">
        <v>51</v>
      </c>
      <c r="E24" t="s">
        <v>24</v>
      </c>
      <c r="F24">
        <v>94109</v>
      </c>
      <c r="G24" t="s">
        <v>25</v>
      </c>
      <c r="H24" t="s">
        <v>35</v>
      </c>
      <c r="I24" t="s">
        <v>36</v>
      </c>
      <c r="J24" s="3">
        <v>213.48</v>
      </c>
      <c r="K24">
        <v>3</v>
      </c>
      <c r="L24">
        <v>0.2</v>
      </c>
      <c r="M24">
        <v>16.010999999999999</v>
      </c>
    </row>
    <row r="25" spans="1:13" x14ac:dyDescent="0.3">
      <c r="A25" t="s">
        <v>13</v>
      </c>
      <c r="B25" t="s">
        <v>14</v>
      </c>
      <c r="C25" t="s">
        <v>15</v>
      </c>
      <c r="D25" t="s">
        <v>51</v>
      </c>
      <c r="E25" t="s">
        <v>24</v>
      </c>
      <c r="F25">
        <v>94109</v>
      </c>
      <c r="G25" t="s">
        <v>25</v>
      </c>
      <c r="H25" t="s">
        <v>26</v>
      </c>
      <c r="I25" t="s">
        <v>37</v>
      </c>
      <c r="J25" s="3">
        <v>22.72</v>
      </c>
      <c r="K25">
        <v>4</v>
      </c>
      <c r="L25">
        <v>0.2</v>
      </c>
      <c r="M25">
        <v>7.3840000000000003</v>
      </c>
    </row>
    <row r="26" spans="1:13" x14ac:dyDescent="0.3">
      <c r="A26" t="s">
        <v>28</v>
      </c>
      <c r="B26" t="s">
        <v>22</v>
      </c>
      <c r="C26" t="s">
        <v>15</v>
      </c>
      <c r="D26" t="s">
        <v>52</v>
      </c>
      <c r="E26" t="s">
        <v>53</v>
      </c>
      <c r="F26">
        <v>68025</v>
      </c>
      <c r="G26" t="s">
        <v>47</v>
      </c>
      <c r="H26" t="s">
        <v>26</v>
      </c>
      <c r="I26" t="s">
        <v>34</v>
      </c>
      <c r="J26" s="3">
        <v>19.46</v>
      </c>
      <c r="K26">
        <v>7</v>
      </c>
      <c r="L26">
        <v>0</v>
      </c>
      <c r="M26">
        <v>5.0595999999999997</v>
      </c>
    </row>
    <row r="27" spans="1:13" x14ac:dyDescent="0.3">
      <c r="A27" t="s">
        <v>28</v>
      </c>
      <c r="B27" t="s">
        <v>22</v>
      </c>
      <c r="C27" t="s">
        <v>15</v>
      </c>
      <c r="D27" t="s">
        <v>52</v>
      </c>
      <c r="E27" t="s">
        <v>53</v>
      </c>
      <c r="F27">
        <v>68025</v>
      </c>
      <c r="G27" t="s">
        <v>47</v>
      </c>
      <c r="H27" t="s">
        <v>26</v>
      </c>
      <c r="I27" t="s">
        <v>38</v>
      </c>
      <c r="J27" s="3">
        <v>60.34</v>
      </c>
      <c r="K27">
        <v>7</v>
      </c>
      <c r="L27">
        <v>0</v>
      </c>
      <c r="M27">
        <v>15.6884</v>
      </c>
    </row>
    <row r="28" spans="1:13" x14ac:dyDescent="0.3">
      <c r="A28" t="s">
        <v>13</v>
      </c>
      <c r="B28" t="s">
        <v>14</v>
      </c>
      <c r="C28" t="s">
        <v>15</v>
      </c>
      <c r="D28" t="s">
        <v>54</v>
      </c>
      <c r="E28" t="s">
        <v>55</v>
      </c>
      <c r="F28">
        <v>19140</v>
      </c>
      <c r="G28" t="s">
        <v>56</v>
      </c>
      <c r="H28" t="s">
        <v>19</v>
      </c>
      <c r="I28" t="s">
        <v>21</v>
      </c>
      <c r="J28" s="3">
        <v>71.372</v>
      </c>
      <c r="K28">
        <v>2</v>
      </c>
      <c r="L28">
        <v>0.3</v>
      </c>
      <c r="M28">
        <v>-1.0196000000000001</v>
      </c>
    </row>
    <row r="29" spans="1:13" x14ac:dyDescent="0.3">
      <c r="A29" t="s">
        <v>28</v>
      </c>
      <c r="B29" t="s">
        <v>14</v>
      </c>
      <c r="C29" t="s">
        <v>15</v>
      </c>
      <c r="D29" t="s">
        <v>57</v>
      </c>
      <c r="E29" t="s">
        <v>50</v>
      </c>
      <c r="F29">
        <v>84057</v>
      </c>
      <c r="G29" t="s">
        <v>25</v>
      </c>
      <c r="H29" t="s">
        <v>19</v>
      </c>
      <c r="I29" t="s">
        <v>31</v>
      </c>
      <c r="J29" s="3">
        <v>1044.6300000000001</v>
      </c>
      <c r="K29">
        <v>3</v>
      </c>
      <c r="L29">
        <v>0</v>
      </c>
      <c r="M29">
        <v>240.26490000000001</v>
      </c>
    </row>
    <row r="30" spans="1:13" x14ac:dyDescent="0.3">
      <c r="A30" t="s">
        <v>13</v>
      </c>
      <c r="B30" t="s">
        <v>14</v>
      </c>
      <c r="C30" t="s">
        <v>15</v>
      </c>
      <c r="D30" t="s">
        <v>23</v>
      </c>
      <c r="E30" t="s">
        <v>24</v>
      </c>
      <c r="F30">
        <v>90049</v>
      </c>
      <c r="G30" t="s">
        <v>25</v>
      </c>
      <c r="H30" t="s">
        <v>26</v>
      </c>
      <c r="I30" t="s">
        <v>37</v>
      </c>
      <c r="J30" s="3">
        <v>11.648</v>
      </c>
      <c r="K30">
        <v>2</v>
      </c>
      <c r="L30">
        <v>0.2</v>
      </c>
      <c r="M30">
        <v>4.2224000000000004</v>
      </c>
    </row>
    <row r="31" spans="1:13" x14ac:dyDescent="0.3">
      <c r="A31" t="s">
        <v>13</v>
      </c>
      <c r="B31" t="s">
        <v>14</v>
      </c>
      <c r="C31" t="s">
        <v>15</v>
      </c>
      <c r="D31" t="s">
        <v>23</v>
      </c>
      <c r="E31" t="s">
        <v>24</v>
      </c>
      <c r="F31">
        <v>90049</v>
      </c>
      <c r="G31" t="s">
        <v>25</v>
      </c>
      <c r="H31" t="s">
        <v>35</v>
      </c>
      <c r="I31" t="s">
        <v>58</v>
      </c>
      <c r="J31" s="3">
        <v>90.57</v>
      </c>
      <c r="K31">
        <v>3</v>
      </c>
      <c r="L31">
        <v>0</v>
      </c>
      <c r="M31">
        <v>11.774100000000001</v>
      </c>
    </row>
    <row r="32" spans="1:13" x14ac:dyDescent="0.3">
      <c r="A32" t="s">
        <v>28</v>
      </c>
      <c r="B32" t="s">
        <v>14</v>
      </c>
      <c r="C32" t="s">
        <v>15</v>
      </c>
      <c r="D32" t="s">
        <v>54</v>
      </c>
      <c r="E32" t="s">
        <v>55</v>
      </c>
      <c r="F32">
        <v>19140</v>
      </c>
      <c r="G32" t="s">
        <v>56</v>
      </c>
      <c r="H32" t="s">
        <v>19</v>
      </c>
      <c r="I32" t="s">
        <v>20</v>
      </c>
      <c r="J32" s="3">
        <v>3083.43</v>
      </c>
      <c r="K32">
        <v>7</v>
      </c>
      <c r="L32">
        <v>0.5</v>
      </c>
      <c r="M32">
        <v>-1665.0522000000001</v>
      </c>
    </row>
    <row r="33" spans="1:13" x14ac:dyDescent="0.3">
      <c r="A33" t="s">
        <v>28</v>
      </c>
      <c r="B33" t="s">
        <v>14</v>
      </c>
      <c r="C33" t="s">
        <v>15</v>
      </c>
      <c r="D33" t="s">
        <v>54</v>
      </c>
      <c r="E33" t="s">
        <v>55</v>
      </c>
      <c r="F33">
        <v>19140</v>
      </c>
      <c r="G33" t="s">
        <v>56</v>
      </c>
      <c r="H33" t="s">
        <v>26</v>
      </c>
      <c r="I33" t="s">
        <v>37</v>
      </c>
      <c r="J33" s="3">
        <v>9.6180000000000003</v>
      </c>
      <c r="K33">
        <v>2</v>
      </c>
      <c r="L33">
        <v>0.7</v>
      </c>
      <c r="M33">
        <v>-7.0532000000000004</v>
      </c>
    </row>
    <row r="34" spans="1:13" x14ac:dyDescent="0.3">
      <c r="A34" t="s">
        <v>28</v>
      </c>
      <c r="B34" t="s">
        <v>14</v>
      </c>
      <c r="C34" t="s">
        <v>15</v>
      </c>
      <c r="D34" t="s">
        <v>54</v>
      </c>
      <c r="E34" t="s">
        <v>55</v>
      </c>
      <c r="F34">
        <v>19140</v>
      </c>
      <c r="G34" t="s">
        <v>56</v>
      </c>
      <c r="H34" t="s">
        <v>19</v>
      </c>
      <c r="I34" t="s">
        <v>33</v>
      </c>
      <c r="J34" s="3">
        <v>124.2</v>
      </c>
      <c r="K34">
        <v>3</v>
      </c>
      <c r="L34">
        <v>0.2</v>
      </c>
      <c r="M34">
        <v>15.525</v>
      </c>
    </row>
    <row r="35" spans="1:13" x14ac:dyDescent="0.3">
      <c r="A35" t="s">
        <v>28</v>
      </c>
      <c r="B35" t="s">
        <v>14</v>
      </c>
      <c r="C35" t="s">
        <v>15</v>
      </c>
      <c r="D35" t="s">
        <v>54</v>
      </c>
      <c r="E35" t="s">
        <v>55</v>
      </c>
      <c r="F35">
        <v>19140</v>
      </c>
      <c r="G35" t="s">
        <v>56</v>
      </c>
      <c r="H35" t="s">
        <v>26</v>
      </c>
      <c r="I35" t="s">
        <v>59</v>
      </c>
      <c r="J35" s="3">
        <v>3.2639999999999998</v>
      </c>
      <c r="K35">
        <v>2</v>
      </c>
      <c r="L35">
        <v>0.2</v>
      </c>
      <c r="M35">
        <v>1.1015999999999999</v>
      </c>
    </row>
    <row r="36" spans="1:13" x14ac:dyDescent="0.3">
      <c r="A36" t="s">
        <v>28</v>
      </c>
      <c r="B36" t="s">
        <v>14</v>
      </c>
      <c r="C36" t="s">
        <v>15</v>
      </c>
      <c r="D36" t="s">
        <v>54</v>
      </c>
      <c r="E36" t="s">
        <v>55</v>
      </c>
      <c r="F36">
        <v>19140</v>
      </c>
      <c r="G36" t="s">
        <v>56</v>
      </c>
      <c r="H36" t="s">
        <v>26</v>
      </c>
      <c r="I36" t="s">
        <v>34</v>
      </c>
      <c r="J36" s="3">
        <v>86.304000000000002</v>
      </c>
      <c r="K36">
        <v>6</v>
      </c>
      <c r="L36">
        <v>0.2</v>
      </c>
      <c r="M36">
        <v>9.7091999999999992</v>
      </c>
    </row>
    <row r="37" spans="1:13" x14ac:dyDescent="0.3">
      <c r="A37" t="s">
        <v>28</v>
      </c>
      <c r="B37" t="s">
        <v>14</v>
      </c>
      <c r="C37" t="s">
        <v>15</v>
      </c>
      <c r="D37" t="s">
        <v>54</v>
      </c>
      <c r="E37" t="s">
        <v>55</v>
      </c>
      <c r="F37">
        <v>19140</v>
      </c>
      <c r="G37" t="s">
        <v>56</v>
      </c>
      <c r="H37" t="s">
        <v>26</v>
      </c>
      <c r="I37" t="s">
        <v>37</v>
      </c>
      <c r="J37" s="3">
        <v>6.8579999999999997</v>
      </c>
      <c r="K37">
        <v>6</v>
      </c>
      <c r="L37">
        <v>0.7</v>
      </c>
      <c r="M37">
        <v>-5.7149999999999999</v>
      </c>
    </row>
    <row r="38" spans="1:13" x14ac:dyDescent="0.3">
      <c r="A38" t="s">
        <v>28</v>
      </c>
      <c r="B38" t="s">
        <v>14</v>
      </c>
      <c r="C38" t="s">
        <v>15</v>
      </c>
      <c r="D38" t="s">
        <v>54</v>
      </c>
      <c r="E38" t="s">
        <v>55</v>
      </c>
      <c r="F38">
        <v>19140</v>
      </c>
      <c r="G38" t="s">
        <v>56</v>
      </c>
      <c r="H38" t="s">
        <v>26</v>
      </c>
      <c r="I38" t="s">
        <v>34</v>
      </c>
      <c r="J38" s="3">
        <v>15.76</v>
      </c>
      <c r="K38">
        <v>2</v>
      </c>
      <c r="L38">
        <v>0.2</v>
      </c>
      <c r="M38">
        <v>3.5459999999999998</v>
      </c>
    </row>
    <row r="39" spans="1:13" x14ac:dyDescent="0.3">
      <c r="A39" t="s">
        <v>13</v>
      </c>
      <c r="B39" t="s">
        <v>44</v>
      </c>
      <c r="C39" t="s">
        <v>15</v>
      </c>
      <c r="D39" t="s">
        <v>60</v>
      </c>
      <c r="E39" t="s">
        <v>46</v>
      </c>
      <c r="F39">
        <v>77095</v>
      </c>
      <c r="G39" t="s">
        <v>47</v>
      </c>
      <c r="H39" t="s">
        <v>26</v>
      </c>
      <c r="I39" t="s">
        <v>41</v>
      </c>
      <c r="J39" s="3">
        <v>29.472000000000001</v>
      </c>
      <c r="K39">
        <v>3</v>
      </c>
      <c r="L39">
        <v>0.2</v>
      </c>
      <c r="M39">
        <v>9.9467999999999996</v>
      </c>
    </row>
    <row r="40" spans="1:13" x14ac:dyDescent="0.3">
      <c r="A40" t="s">
        <v>61</v>
      </c>
      <c r="B40" t="s">
        <v>22</v>
      </c>
      <c r="C40" t="s">
        <v>15</v>
      </c>
      <c r="D40" t="s">
        <v>62</v>
      </c>
      <c r="E40" t="s">
        <v>46</v>
      </c>
      <c r="F40">
        <v>75080</v>
      </c>
      <c r="G40" t="s">
        <v>47</v>
      </c>
      <c r="H40" t="s">
        <v>35</v>
      </c>
      <c r="I40" t="s">
        <v>36</v>
      </c>
      <c r="J40" s="3">
        <v>1097.5440000000001</v>
      </c>
      <c r="K40">
        <v>7</v>
      </c>
      <c r="L40">
        <v>0.2</v>
      </c>
      <c r="M40">
        <v>123.47369999999999</v>
      </c>
    </row>
    <row r="41" spans="1:13" x14ac:dyDescent="0.3">
      <c r="A41" t="s">
        <v>61</v>
      </c>
      <c r="B41" t="s">
        <v>22</v>
      </c>
      <c r="C41" t="s">
        <v>15</v>
      </c>
      <c r="D41" t="s">
        <v>62</v>
      </c>
      <c r="E41" t="s">
        <v>46</v>
      </c>
      <c r="F41">
        <v>75080</v>
      </c>
      <c r="G41" t="s">
        <v>47</v>
      </c>
      <c r="H41" t="s">
        <v>19</v>
      </c>
      <c r="I41" t="s">
        <v>33</v>
      </c>
      <c r="J41" s="3">
        <v>190.92</v>
      </c>
      <c r="K41">
        <v>5</v>
      </c>
      <c r="L41">
        <v>0.6</v>
      </c>
      <c r="M41">
        <v>-147.96299999999999</v>
      </c>
    </row>
    <row r="42" spans="1:13" x14ac:dyDescent="0.3">
      <c r="A42" t="s">
        <v>28</v>
      </c>
      <c r="B42" t="s">
        <v>44</v>
      </c>
      <c r="C42" t="s">
        <v>15</v>
      </c>
      <c r="D42" t="s">
        <v>60</v>
      </c>
      <c r="E42" t="s">
        <v>46</v>
      </c>
      <c r="F42">
        <v>77041</v>
      </c>
      <c r="G42" t="s">
        <v>47</v>
      </c>
      <c r="H42" t="s">
        <v>26</v>
      </c>
      <c r="I42" t="s">
        <v>59</v>
      </c>
      <c r="J42" s="3">
        <v>113.328</v>
      </c>
      <c r="K42">
        <v>9</v>
      </c>
      <c r="L42">
        <v>0.2</v>
      </c>
      <c r="M42">
        <v>35.414999999999999</v>
      </c>
    </row>
    <row r="43" spans="1:13" x14ac:dyDescent="0.3">
      <c r="A43" t="s">
        <v>28</v>
      </c>
      <c r="B43" t="s">
        <v>44</v>
      </c>
      <c r="C43" t="s">
        <v>15</v>
      </c>
      <c r="D43" t="s">
        <v>60</v>
      </c>
      <c r="E43" t="s">
        <v>46</v>
      </c>
      <c r="F43">
        <v>77041</v>
      </c>
      <c r="G43" t="s">
        <v>47</v>
      </c>
      <c r="H43" t="s">
        <v>19</v>
      </c>
      <c r="I43" t="s">
        <v>20</v>
      </c>
      <c r="J43" s="3">
        <v>532.39919999999995</v>
      </c>
      <c r="K43">
        <v>3</v>
      </c>
      <c r="L43">
        <v>0.32</v>
      </c>
      <c r="M43">
        <v>-46.976399999999998</v>
      </c>
    </row>
    <row r="44" spans="1:13" x14ac:dyDescent="0.3">
      <c r="A44" t="s">
        <v>28</v>
      </c>
      <c r="B44" t="s">
        <v>44</v>
      </c>
      <c r="C44" t="s">
        <v>15</v>
      </c>
      <c r="D44" t="s">
        <v>60</v>
      </c>
      <c r="E44" t="s">
        <v>46</v>
      </c>
      <c r="F44">
        <v>77041</v>
      </c>
      <c r="G44" t="s">
        <v>47</v>
      </c>
      <c r="H44" t="s">
        <v>19</v>
      </c>
      <c r="I44" t="s">
        <v>21</v>
      </c>
      <c r="J44" s="3">
        <v>212.05799999999999</v>
      </c>
      <c r="K44">
        <v>3</v>
      </c>
      <c r="L44">
        <v>0.3</v>
      </c>
      <c r="M44">
        <v>-15.147</v>
      </c>
    </row>
    <row r="45" spans="1:13" x14ac:dyDescent="0.3">
      <c r="A45" t="s">
        <v>28</v>
      </c>
      <c r="B45" t="s">
        <v>44</v>
      </c>
      <c r="C45" t="s">
        <v>15</v>
      </c>
      <c r="D45" t="s">
        <v>60</v>
      </c>
      <c r="E45" t="s">
        <v>46</v>
      </c>
      <c r="F45">
        <v>77041</v>
      </c>
      <c r="G45" t="s">
        <v>47</v>
      </c>
      <c r="H45" t="s">
        <v>35</v>
      </c>
      <c r="I45" t="s">
        <v>36</v>
      </c>
      <c r="J45" s="3">
        <v>371.16800000000001</v>
      </c>
      <c r="K45">
        <v>4</v>
      </c>
      <c r="L45">
        <v>0.2</v>
      </c>
      <c r="M45">
        <v>41.756399999999999</v>
      </c>
    </row>
    <row r="46" spans="1:13" x14ac:dyDescent="0.3">
      <c r="A46" t="s">
        <v>28</v>
      </c>
      <c r="B46" t="s">
        <v>22</v>
      </c>
      <c r="C46" t="s">
        <v>15</v>
      </c>
      <c r="D46" t="s">
        <v>63</v>
      </c>
      <c r="E46" t="s">
        <v>64</v>
      </c>
      <c r="F46">
        <v>60540</v>
      </c>
      <c r="G46" t="s">
        <v>47</v>
      </c>
      <c r="H46" t="s">
        <v>35</v>
      </c>
      <c r="I46" t="s">
        <v>36</v>
      </c>
      <c r="J46" s="3">
        <v>147.16800000000001</v>
      </c>
      <c r="K46">
        <v>4</v>
      </c>
      <c r="L46">
        <v>0.2</v>
      </c>
      <c r="M46">
        <v>16.5564</v>
      </c>
    </row>
    <row r="47" spans="1:13" x14ac:dyDescent="0.3">
      <c r="A47" t="s">
        <v>28</v>
      </c>
      <c r="B47" t="s">
        <v>22</v>
      </c>
      <c r="C47" t="s">
        <v>15</v>
      </c>
      <c r="D47" t="s">
        <v>23</v>
      </c>
      <c r="E47" t="s">
        <v>24</v>
      </c>
      <c r="F47">
        <v>90049</v>
      </c>
      <c r="G47" t="s">
        <v>25</v>
      </c>
      <c r="H47" t="s">
        <v>26</v>
      </c>
      <c r="I47" t="s">
        <v>32</v>
      </c>
      <c r="J47" s="3">
        <v>77.88</v>
      </c>
      <c r="K47">
        <v>2</v>
      </c>
      <c r="L47">
        <v>0</v>
      </c>
      <c r="M47">
        <v>3.8940000000000001</v>
      </c>
    </row>
    <row r="48" spans="1:13" x14ac:dyDescent="0.3">
      <c r="A48" t="s">
        <v>28</v>
      </c>
      <c r="B48" t="s">
        <v>22</v>
      </c>
      <c r="C48" t="s">
        <v>15</v>
      </c>
      <c r="D48" t="s">
        <v>65</v>
      </c>
      <c r="E48" t="s">
        <v>30</v>
      </c>
      <c r="F48">
        <v>32935</v>
      </c>
      <c r="G48" t="s">
        <v>18</v>
      </c>
      <c r="H48" t="s">
        <v>26</v>
      </c>
      <c r="I48" t="s">
        <v>32</v>
      </c>
      <c r="J48" s="3">
        <v>95.616</v>
      </c>
      <c r="K48">
        <v>2</v>
      </c>
      <c r="L48">
        <v>0.2</v>
      </c>
      <c r="M48">
        <v>9.5616000000000003</v>
      </c>
    </row>
    <row r="49" spans="1:13" x14ac:dyDescent="0.3">
      <c r="A49" t="s">
        <v>61</v>
      </c>
      <c r="B49" t="s">
        <v>22</v>
      </c>
      <c r="C49" t="s">
        <v>15</v>
      </c>
      <c r="D49" t="s">
        <v>66</v>
      </c>
      <c r="E49" t="s">
        <v>67</v>
      </c>
      <c r="F49">
        <v>55122</v>
      </c>
      <c r="G49" t="s">
        <v>47</v>
      </c>
      <c r="H49" t="s">
        <v>35</v>
      </c>
      <c r="I49" t="s">
        <v>58</v>
      </c>
      <c r="J49" s="3">
        <v>45.98</v>
      </c>
      <c r="K49">
        <v>2</v>
      </c>
      <c r="L49">
        <v>0</v>
      </c>
      <c r="M49">
        <v>19.7714</v>
      </c>
    </row>
    <row r="50" spans="1:13" x14ac:dyDescent="0.3">
      <c r="A50" t="s">
        <v>61</v>
      </c>
      <c r="B50" t="s">
        <v>22</v>
      </c>
      <c r="C50" t="s">
        <v>15</v>
      </c>
      <c r="D50" t="s">
        <v>66</v>
      </c>
      <c r="E50" t="s">
        <v>67</v>
      </c>
      <c r="F50">
        <v>55122</v>
      </c>
      <c r="G50" t="s">
        <v>47</v>
      </c>
      <c r="H50" t="s">
        <v>26</v>
      </c>
      <c r="I50" t="s">
        <v>37</v>
      </c>
      <c r="J50" s="3">
        <v>17.46</v>
      </c>
      <c r="K50">
        <v>2</v>
      </c>
      <c r="L50">
        <v>0</v>
      </c>
      <c r="M50">
        <v>8.2062000000000008</v>
      </c>
    </row>
    <row r="51" spans="1:13" x14ac:dyDescent="0.3">
      <c r="A51" t="s">
        <v>13</v>
      </c>
      <c r="B51" t="s">
        <v>14</v>
      </c>
      <c r="C51" t="s">
        <v>15</v>
      </c>
      <c r="D51" t="s">
        <v>68</v>
      </c>
      <c r="E51" t="s">
        <v>69</v>
      </c>
      <c r="F51">
        <v>48185</v>
      </c>
      <c r="G51" t="s">
        <v>47</v>
      </c>
      <c r="H51" t="s">
        <v>26</v>
      </c>
      <c r="I51" t="s">
        <v>32</v>
      </c>
      <c r="J51" s="3">
        <v>211.96</v>
      </c>
      <c r="K51">
        <v>4</v>
      </c>
      <c r="L51">
        <v>0</v>
      </c>
      <c r="M51">
        <v>8.4784000000000006</v>
      </c>
    </row>
    <row r="52" spans="1:13" x14ac:dyDescent="0.3">
      <c r="A52" t="s">
        <v>28</v>
      </c>
      <c r="B52" t="s">
        <v>14</v>
      </c>
      <c r="C52" t="s">
        <v>15</v>
      </c>
      <c r="D52" t="s">
        <v>70</v>
      </c>
      <c r="E52" t="s">
        <v>71</v>
      </c>
      <c r="F52">
        <v>19901</v>
      </c>
      <c r="G52" t="s">
        <v>56</v>
      </c>
      <c r="H52" t="s">
        <v>35</v>
      </c>
      <c r="I52" t="s">
        <v>58</v>
      </c>
      <c r="J52" s="3">
        <v>45</v>
      </c>
      <c r="K52">
        <v>3</v>
      </c>
      <c r="L52">
        <v>0</v>
      </c>
      <c r="M52">
        <v>4.95</v>
      </c>
    </row>
    <row r="53" spans="1:13" x14ac:dyDescent="0.3">
      <c r="A53" t="s">
        <v>28</v>
      </c>
      <c r="B53" t="s">
        <v>14</v>
      </c>
      <c r="C53" t="s">
        <v>15</v>
      </c>
      <c r="D53" t="s">
        <v>70</v>
      </c>
      <c r="E53" t="s">
        <v>71</v>
      </c>
      <c r="F53">
        <v>19901</v>
      </c>
      <c r="G53" t="s">
        <v>56</v>
      </c>
      <c r="H53" t="s">
        <v>35</v>
      </c>
      <c r="I53" t="s">
        <v>36</v>
      </c>
      <c r="J53" s="3">
        <v>21.8</v>
      </c>
      <c r="K53">
        <v>2</v>
      </c>
      <c r="L53">
        <v>0</v>
      </c>
      <c r="M53">
        <v>6.1040000000000001</v>
      </c>
    </row>
    <row r="54" spans="1:13" x14ac:dyDescent="0.3">
      <c r="A54" t="s">
        <v>28</v>
      </c>
      <c r="B54" t="s">
        <v>14</v>
      </c>
      <c r="C54" t="s">
        <v>15</v>
      </c>
      <c r="D54" t="s">
        <v>72</v>
      </c>
      <c r="E54" t="s">
        <v>73</v>
      </c>
      <c r="F54">
        <v>47150</v>
      </c>
      <c r="G54" t="s">
        <v>47</v>
      </c>
      <c r="H54" t="s">
        <v>26</v>
      </c>
      <c r="I54" t="s">
        <v>37</v>
      </c>
      <c r="J54" s="3">
        <v>38.22</v>
      </c>
      <c r="K54">
        <v>6</v>
      </c>
      <c r="L54">
        <v>0</v>
      </c>
      <c r="M54">
        <v>17.9634</v>
      </c>
    </row>
    <row r="55" spans="1:13" x14ac:dyDescent="0.3">
      <c r="A55" t="s">
        <v>28</v>
      </c>
      <c r="B55" t="s">
        <v>14</v>
      </c>
      <c r="C55" t="s">
        <v>15</v>
      </c>
      <c r="D55" t="s">
        <v>72</v>
      </c>
      <c r="E55" t="s">
        <v>73</v>
      </c>
      <c r="F55">
        <v>47150</v>
      </c>
      <c r="G55" t="s">
        <v>47</v>
      </c>
      <c r="H55" t="s">
        <v>26</v>
      </c>
      <c r="I55" t="s">
        <v>27</v>
      </c>
      <c r="J55" s="3">
        <v>75.180000000000007</v>
      </c>
      <c r="K55">
        <v>6</v>
      </c>
      <c r="L55">
        <v>0</v>
      </c>
      <c r="M55">
        <v>35.334600000000002</v>
      </c>
    </row>
    <row r="56" spans="1:13" x14ac:dyDescent="0.3">
      <c r="A56" t="s">
        <v>28</v>
      </c>
      <c r="B56" t="s">
        <v>14</v>
      </c>
      <c r="C56" t="s">
        <v>15</v>
      </c>
      <c r="D56" t="s">
        <v>72</v>
      </c>
      <c r="E56" t="s">
        <v>73</v>
      </c>
      <c r="F56">
        <v>47150</v>
      </c>
      <c r="G56" t="s">
        <v>47</v>
      </c>
      <c r="H56" t="s">
        <v>19</v>
      </c>
      <c r="I56" t="s">
        <v>33</v>
      </c>
      <c r="J56" s="3">
        <v>6.16</v>
      </c>
      <c r="K56">
        <v>2</v>
      </c>
      <c r="L56">
        <v>0</v>
      </c>
      <c r="M56">
        <v>2.9567999999999999</v>
      </c>
    </row>
    <row r="57" spans="1:13" x14ac:dyDescent="0.3">
      <c r="A57" t="s">
        <v>28</v>
      </c>
      <c r="B57" t="s">
        <v>14</v>
      </c>
      <c r="C57" t="s">
        <v>15</v>
      </c>
      <c r="D57" t="s">
        <v>72</v>
      </c>
      <c r="E57" t="s">
        <v>73</v>
      </c>
      <c r="F57">
        <v>47150</v>
      </c>
      <c r="G57" t="s">
        <v>47</v>
      </c>
      <c r="H57" t="s">
        <v>19</v>
      </c>
      <c r="I57" t="s">
        <v>21</v>
      </c>
      <c r="J57" s="3">
        <v>89.99</v>
      </c>
      <c r="K57">
        <v>1</v>
      </c>
      <c r="L57">
        <v>0</v>
      </c>
      <c r="M57">
        <v>17.098099999999999</v>
      </c>
    </row>
    <row r="58" spans="1:13" x14ac:dyDescent="0.3">
      <c r="A58" t="s">
        <v>28</v>
      </c>
      <c r="B58" t="s">
        <v>22</v>
      </c>
      <c r="C58" t="s">
        <v>15</v>
      </c>
      <c r="D58" t="s">
        <v>74</v>
      </c>
      <c r="E58" t="s">
        <v>75</v>
      </c>
      <c r="F58">
        <v>10024</v>
      </c>
      <c r="G58" t="s">
        <v>56</v>
      </c>
      <c r="H58" t="s">
        <v>26</v>
      </c>
      <c r="I58" t="s">
        <v>76</v>
      </c>
      <c r="J58" s="3">
        <v>15.26</v>
      </c>
      <c r="K58">
        <v>7</v>
      </c>
      <c r="L58">
        <v>0</v>
      </c>
      <c r="M58">
        <v>6.2565999999999997</v>
      </c>
    </row>
    <row r="59" spans="1:13" x14ac:dyDescent="0.3">
      <c r="A59" t="s">
        <v>28</v>
      </c>
      <c r="B59" t="s">
        <v>22</v>
      </c>
      <c r="C59" t="s">
        <v>15</v>
      </c>
      <c r="D59" t="s">
        <v>74</v>
      </c>
      <c r="E59" t="s">
        <v>75</v>
      </c>
      <c r="F59">
        <v>10024</v>
      </c>
      <c r="G59" t="s">
        <v>56</v>
      </c>
      <c r="H59" t="s">
        <v>35</v>
      </c>
      <c r="I59" t="s">
        <v>36</v>
      </c>
      <c r="J59" s="3">
        <v>1029.95</v>
      </c>
      <c r="K59">
        <v>5</v>
      </c>
      <c r="L59">
        <v>0</v>
      </c>
      <c r="M59">
        <v>298.68549999999999</v>
      </c>
    </row>
    <row r="60" spans="1:13" x14ac:dyDescent="0.3">
      <c r="A60" t="s">
        <v>61</v>
      </c>
      <c r="B60" t="s">
        <v>14</v>
      </c>
      <c r="C60" t="s">
        <v>15</v>
      </c>
      <c r="D60" t="s">
        <v>77</v>
      </c>
      <c r="E60" t="s">
        <v>75</v>
      </c>
      <c r="F60">
        <v>12180</v>
      </c>
      <c r="G60" t="s">
        <v>56</v>
      </c>
      <c r="H60" t="s">
        <v>26</v>
      </c>
      <c r="I60" t="s">
        <v>32</v>
      </c>
      <c r="J60" s="3">
        <v>208.56</v>
      </c>
      <c r="K60">
        <v>6</v>
      </c>
      <c r="L60">
        <v>0</v>
      </c>
      <c r="M60">
        <v>52.14</v>
      </c>
    </row>
    <row r="61" spans="1:13" x14ac:dyDescent="0.3">
      <c r="A61" t="s">
        <v>61</v>
      </c>
      <c r="B61" t="s">
        <v>14</v>
      </c>
      <c r="C61" t="s">
        <v>15</v>
      </c>
      <c r="D61" t="s">
        <v>77</v>
      </c>
      <c r="E61" t="s">
        <v>75</v>
      </c>
      <c r="F61">
        <v>12180</v>
      </c>
      <c r="G61" t="s">
        <v>56</v>
      </c>
      <c r="H61" t="s">
        <v>26</v>
      </c>
      <c r="I61" t="s">
        <v>41</v>
      </c>
      <c r="J61" s="3">
        <v>32.4</v>
      </c>
      <c r="K61">
        <v>5</v>
      </c>
      <c r="L61">
        <v>0</v>
      </c>
      <c r="M61">
        <v>15.552</v>
      </c>
    </row>
    <row r="62" spans="1:13" x14ac:dyDescent="0.3">
      <c r="A62" t="s">
        <v>61</v>
      </c>
      <c r="B62" t="s">
        <v>14</v>
      </c>
      <c r="C62" t="s">
        <v>15</v>
      </c>
      <c r="D62" t="s">
        <v>77</v>
      </c>
      <c r="E62" t="s">
        <v>75</v>
      </c>
      <c r="F62">
        <v>12180</v>
      </c>
      <c r="G62" t="s">
        <v>56</v>
      </c>
      <c r="H62" t="s">
        <v>19</v>
      </c>
      <c r="I62" t="s">
        <v>21</v>
      </c>
      <c r="J62" s="3">
        <v>319.41000000000003</v>
      </c>
      <c r="K62">
        <v>5</v>
      </c>
      <c r="L62">
        <v>0.1</v>
      </c>
      <c r="M62">
        <v>7.0979999999999999</v>
      </c>
    </row>
    <row r="63" spans="1:13" x14ac:dyDescent="0.3">
      <c r="A63" t="s">
        <v>61</v>
      </c>
      <c r="B63" t="s">
        <v>14</v>
      </c>
      <c r="C63" t="s">
        <v>15</v>
      </c>
      <c r="D63" t="s">
        <v>77</v>
      </c>
      <c r="E63" t="s">
        <v>75</v>
      </c>
      <c r="F63">
        <v>12180</v>
      </c>
      <c r="G63" t="s">
        <v>56</v>
      </c>
      <c r="H63" t="s">
        <v>26</v>
      </c>
      <c r="I63" t="s">
        <v>41</v>
      </c>
      <c r="J63" s="3">
        <v>14.56</v>
      </c>
      <c r="K63">
        <v>2</v>
      </c>
      <c r="L63">
        <v>0</v>
      </c>
      <c r="M63">
        <v>6.9888000000000003</v>
      </c>
    </row>
    <row r="64" spans="1:13" x14ac:dyDescent="0.3">
      <c r="A64" t="s">
        <v>61</v>
      </c>
      <c r="B64" t="s">
        <v>14</v>
      </c>
      <c r="C64" t="s">
        <v>15</v>
      </c>
      <c r="D64" t="s">
        <v>77</v>
      </c>
      <c r="E64" t="s">
        <v>75</v>
      </c>
      <c r="F64">
        <v>12180</v>
      </c>
      <c r="G64" t="s">
        <v>56</v>
      </c>
      <c r="H64" t="s">
        <v>35</v>
      </c>
      <c r="I64" t="s">
        <v>58</v>
      </c>
      <c r="J64" s="3">
        <v>30</v>
      </c>
      <c r="K64">
        <v>2</v>
      </c>
      <c r="L64">
        <v>0</v>
      </c>
      <c r="M64">
        <v>3.3</v>
      </c>
    </row>
    <row r="65" spans="1:13" x14ac:dyDescent="0.3">
      <c r="A65" t="s">
        <v>61</v>
      </c>
      <c r="B65" t="s">
        <v>14</v>
      </c>
      <c r="C65" t="s">
        <v>15</v>
      </c>
      <c r="D65" t="s">
        <v>77</v>
      </c>
      <c r="E65" t="s">
        <v>75</v>
      </c>
      <c r="F65">
        <v>12180</v>
      </c>
      <c r="G65" t="s">
        <v>56</v>
      </c>
      <c r="H65" t="s">
        <v>26</v>
      </c>
      <c r="I65" t="s">
        <v>37</v>
      </c>
      <c r="J65" s="3">
        <v>48.48</v>
      </c>
      <c r="K65">
        <v>4</v>
      </c>
      <c r="L65">
        <v>0.2</v>
      </c>
      <c r="M65">
        <v>16.361999999999998</v>
      </c>
    </row>
    <row r="66" spans="1:13" x14ac:dyDescent="0.3">
      <c r="A66" t="s">
        <v>61</v>
      </c>
      <c r="B66" t="s">
        <v>14</v>
      </c>
      <c r="C66" t="s">
        <v>15</v>
      </c>
      <c r="D66" t="s">
        <v>77</v>
      </c>
      <c r="E66" t="s">
        <v>75</v>
      </c>
      <c r="F66">
        <v>12180</v>
      </c>
      <c r="G66" t="s">
        <v>56</v>
      </c>
      <c r="H66" t="s">
        <v>26</v>
      </c>
      <c r="I66" t="s">
        <v>34</v>
      </c>
      <c r="J66" s="3">
        <v>1.68</v>
      </c>
      <c r="K66">
        <v>1</v>
      </c>
      <c r="L66">
        <v>0</v>
      </c>
      <c r="M66">
        <v>0.84</v>
      </c>
    </row>
    <row r="67" spans="1:13" x14ac:dyDescent="0.3">
      <c r="A67" t="s">
        <v>28</v>
      </c>
      <c r="B67" t="s">
        <v>14</v>
      </c>
      <c r="C67" t="s">
        <v>15</v>
      </c>
      <c r="D67" t="s">
        <v>23</v>
      </c>
      <c r="E67" t="s">
        <v>24</v>
      </c>
      <c r="F67">
        <v>90004</v>
      </c>
      <c r="G67" t="s">
        <v>25</v>
      </c>
      <c r="H67" t="s">
        <v>35</v>
      </c>
      <c r="I67" t="s">
        <v>58</v>
      </c>
      <c r="J67" s="3">
        <v>13.98</v>
      </c>
      <c r="K67">
        <v>2</v>
      </c>
      <c r="L67">
        <v>0</v>
      </c>
      <c r="M67">
        <v>6.1512000000000002</v>
      </c>
    </row>
    <row r="68" spans="1:13" x14ac:dyDescent="0.3">
      <c r="A68" t="s">
        <v>28</v>
      </c>
      <c r="B68" t="s">
        <v>14</v>
      </c>
      <c r="C68" t="s">
        <v>15</v>
      </c>
      <c r="D68" t="s">
        <v>23</v>
      </c>
      <c r="E68" t="s">
        <v>24</v>
      </c>
      <c r="F68">
        <v>90004</v>
      </c>
      <c r="G68" t="s">
        <v>25</v>
      </c>
      <c r="H68" t="s">
        <v>26</v>
      </c>
      <c r="I68" t="s">
        <v>37</v>
      </c>
      <c r="J68" s="3">
        <v>25.824000000000002</v>
      </c>
      <c r="K68">
        <v>6</v>
      </c>
      <c r="L68">
        <v>0.2</v>
      </c>
      <c r="M68">
        <v>9.3612000000000002</v>
      </c>
    </row>
    <row r="69" spans="1:13" x14ac:dyDescent="0.3">
      <c r="A69" t="s">
        <v>28</v>
      </c>
      <c r="B69" t="s">
        <v>14</v>
      </c>
      <c r="C69" t="s">
        <v>15</v>
      </c>
      <c r="D69" t="s">
        <v>23</v>
      </c>
      <c r="E69" t="s">
        <v>24</v>
      </c>
      <c r="F69">
        <v>90004</v>
      </c>
      <c r="G69" t="s">
        <v>25</v>
      </c>
      <c r="H69" t="s">
        <v>26</v>
      </c>
      <c r="I69" t="s">
        <v>41</v>
      </c>
      <c r="J69" s="3">
        <v>146.72999999999999</v>
      </c>
      <c r="K69">
        <v>3</v>
      </c>
      <c r="L69">
        <v>0</v>
      </c>
      <c r="M69">
        <v>68.963099999999997</v>
      </c>
    </row>
    <row r="70" spans="1:13" x14ac:dyDescent="0.3">
      <c r="A70" t="s">
        <v>28</v>
      </c>
      <c r="B70" t="s">
        <v>14</v>
      </c>
      <c r="C70" t="s">
        <v>15</v>
      </c>
      <c r="D70" t="s">
        <v>23</v>
      </c>
      <c r="E70" t="s">
        <v>24</v>
      </c>
      <c r="F70">
        <v>90004</v>
      </c>
      <c r="G70" t="s">
        <v>25</v>
      </c>
      <c r="H70" t="s">
        <v>19</v>
      </c>
      <c r="I70" t="s">
        <v>33</v>
      </c>
      <c r="J70" s="3">
        <v>79.760000000000005</v>
      </c>
      <c r="K70">
        <v>4</v>
      </c>
      <c r="L70">
        <v>0</v>
      </c>
      <c r="M70">
        <v>22.332799999999999</v>
      </c>
    </row>
    <row r="71" spans="1:13" x14ac:dyDescent="0.3">
      <c r="A71" t="s">
        <v>28</v>
      </c>
      <c r="B71" t="s">
        <v>44</v>
      </c>
      <c r="C71" t="s">
        <v>15</v>
      </c>
      <c r="D71" t="s">
        <v>78</v>
      </c>
      <c r="E71" t="s">
        <v>64</v>
      </c>
      <c r="F71">
        <v>60610</v>
      </c>
      <c r="G71" t="s">
        <v>47</v>
      </c>
      <c r="H71" t="s">
        <v>19</v>
      </c>
      <c r="I71" t="s">
        <v>21</v>
      </c>
      <c r="J71" s="3">
        <v>213.11500000000001</v>
      </c>
      <c r="K71">
        <v>5</v>
      </c>
      <c r="L71">
        <v>0.3</v>
      </c>
      <c r="M71">
        <v>-15.2225</v>
      </c>
    </row>
    <row r="72" spans="1:13" x14ac:dyDescent="0.3">
      <c r="A72" t="s">
        <v>28</v>
      </c>
      <c r="B72" t="s">
        <v>22</v>
      </c>
      <c r="C72" t="s">
        <v>15</v>
      </c>
      <c r="D72" t="s">
        <v>79</v>
      </c>
      <c r="E72" t="s">
        <v>80</v>
      </c>
      <c r="F72">
        <v>85234</v>
      </c>
      <c r="G72" t="s">
        <v>25</v>
      </c>
      <c r="H72" t="s">
        <v>26</v>
      </c>
      <c r="I72" t="s">
        <v>34</v>
      </c>
      <c r="J72" s="3">
        <v>1113.0239999999999</v>
      </c>
      <c r="K72">
        <v>8</v>
      </c>
      <c r="L72">
        <v>0.2</v>
      </c>
      <c r="M72">
        <v>111.30240000000001</v>
      </c>
    </row>
    <row r="73" spans="1:13" x14ac:dyDescent="0.3">
      <c r="A73" t="s">
        <v>28</v>
      </c>
      <c r="B73" t="s">
        <v>22</v>
      </c>
      <c r="C73" t="s">
        <v>15</v>
      </c>
      <c r="D73" t="s">
        <v>79</v>
      </c>
      <c r="E73" t="s">
        <v>80</v>
      </c>
      <c r="F73">
        <v>85234</v>
      </c>
      <c r="G73" t="s">
        <v>25</v>
      </c>
      <c r="H73" t="s">
        <v>35</v>
      </c>
      <c r="I73" t="s">
        <v>36</v>
      </c>
      <c r="J73" s="3">
        <v>167.96799999999999</v>
      </c>
      <c r="K73">
        <v>4</v>
      </c>
      <c r="L73">
        <v>0.2</v>
      </c>
      <c r="M73">
        <v>62.988</v>
      </c>
    </row>
    <row r="74" spans="1:13" x14ac:dyDescent="0.3">
      <c r="A74" t="s">
        <v>61</v>
      </c>
      <c r="B74" t="s">
        <v>14</v>
      </c>
      <c r="C74" t="s">
        <v>15</v>
      </c>
      <c r="D74" t="s">
        <v>81</v>
      </c>
      <c r="E74" t="s">
        <v>82</v>
      </c>
      <c r="F74">
        <v>22153</v>
      </c>
      <c r="G74" t="s">
        <v>18</v>
      </c>
      <c r="H74" t="s">
        <v>26</v>
      </c>
      <c r="I74" t="s">
        <v>41</v>
      </c>
      <c r="J74" s="3">
        <v>75.88</v>
      </c>
      <c r="K74">
        <v>2</v>
      </c>
      <c r="L74">
        <v>0</v>
      </c>
      <c r="M74">
        <v>35.663600000000002</v>
      </c>
    </row>
    <row r="75" spans="1:13" x14ac:dyDescent="0.3">
      <c r="A75" t="s">
        <v>28</v>
      </c>
      <c r="B75" t="s">
        <v>14</v>
      </c>
      <c r="C75" t="s">
        <v>15</v>
      </c>
      <c r="D75" t="s">
        <v>74</v>
      </c>
      <c r="E75" t="s">
        <v>75</v>
      </c>
      <c r="F75">
        <v>10009</v>
      </c>
      <c r="G75" t="s">
        <v>56</v>
      </c>
      <c r="H75" t="s">
        <v>26</v>
      </c>
      <c r="I75" t="s">
        <v>37</v>
      </c>
      <c r="J75" s="3">
        <v>4.6159999999999997</v>
      </c>
      <c r="K75">
        <v>1</v>
      </c>
      <c r="L75">
        <v>0.2</v>
      </c>
      <c r="M75">
        <v>1.7310000000000001</v>
      </c>
    </row>
    <row r="76" spans="1:13" x14ac:dyDescent="0.3">
      <c r="A76" t="s">
        <v>13</v>
      </c>
      <c r="B76" t="s">
        <v>14</v>
      </c>
      <c r="C76" t="s">
        <v>15</v>
      </c>
      <c r="D76" t="s">
        <v>83</v>
      </c>
      <c r="E76" t="s">
        <v>69</v>
      </c>
      <c r="F76">
        <v>49201</v>
      </c>
      <c r="G76" t="s">
        <v>47</v>
      </c>
      <c r="H76" t="s">
        <v>26</v>
      </c>
      <c r="I76" t="s">
        <v>41</v>
      </c>
      <c r="J76" s="3">
        <v>19.05</v>
      </c>
      <c r="K76">
        <v>3</v>
      </c>
      <c r="L76">
        <v>0</v>
      </c>
      <c r="M76">
        <v>8.7629999999999999</v>
      </c>
    </row>
    <row r="77" spans="1:13" x14ac:dyDescent="0.3">
      <c r="A77" t="s">
        <v>28</v>
      </c>
      <c r="B77" t="s">
        <v>14</v>
      </c>
      <c r="C77" t="s">
        <v>15</v>
      </c>
      <c r="D77" t="s">
        <v>84</v>
      </c>
      <c r="E77" t="s">
        <v>85</v>
      </c>
      <c r="F77">
        <v>38109</v>
      </c>
      <c r="G77" t="s">
        <v>18</v>
      </c>
      <c r="H77" t="s">
        <v>19</v>
      </c>
      <c r="I77" t="s">
        <v>21</v>
      </c>
      <c r="J77" s="3">
        <v>831.93600000000004</v>
      </c>
      <c r="K77">
        <v>8</v>
      </c>
      <c r="L77">
        <v>0.2</v>
      </c>
      <c r="M77">
        <v>-114.3912</v>
      </c>
    </row>
    <row r="78" spans="1:13" x14ac:dyDescent="0.3">
      <c r="A78" t="s">
        <v>28</v>
      </c>
      <c r="B78" t="s">
        <v>14</v>
      </c>
      <c r="C78" t="s">
        <v>15</v>
      </c>
      <c r="D78" t="s">
        <v>84</v>
      </c>
      <c r="E78" t="s">
        <v>85</v>
      </c>
      <c r="F78">
        <v>38109</v>
      </c>
      <c r="G78" t="s">
        <v>18</v>
      </c>
      <c r="H78" t="s">
        <v>19</v>
      </c>
      <c r="I78" t="s">
        <v>33</v>
      </c>
      <c r="J78" s="3">
        <v>97.04</v>
      </c>
      <c r="K78">
        <v>2</v>
      </c>
      <c r="L78">
        <v>0.2</v>
      </c>
      <c r="M78">
        <v>1.2130000000000001</v>
      </c>
    </row>
    <row r="79" spans="1:13" x14ac:dyDescent="0.3">
      <c r="A79" t="s">
        <v>28</v>
      </c>
      <c r="B79" t="s">
        <v>14</v>
      </c>
      <c r="C79" t="s">
        <v>15</v>
      </c>
      <c r="D79" t="s">
        <v>84</v>
      </c>
      <c r="E79" t="s">
        <v>85</v>
      </c>
      <c r="F79">
        <v>38109</v>
      </c>
      <c r="G79" t="s">
        <v>18</v>
      </c>
      <c r="H79" t="s">
        <v>26</v>
      </c>
      <c r="I79" t="s">
        <v>32</v>
      </c>
      <c r="J79" s="3">
        <v>72.784000000000006</v>
      </c>
      <c r="K79">
        <v>1</v>
      </c>
      <c r="L79">
        <v>0.2</v>
      </c>
      <c r="M79">
        <v>-18.196000000000002</v>
      </c>
    </row>
    <row r="80" spans="1:13" x14ac:dyDescent="0.3">
      <c r="A80" t="s">
        <v>61</v>
      </c>
      <c r="B80" t="s">
        <v>22</v>
      </c>
      <c r="C80" t="s">
        <v>15</v>
      </c>
      <c r="D80" t="s">
        <v>60</v>
      </c>
      <c r="E80" t="s">
        <v>46</v>
      </c>
      <c r="F80">
        <v>77041</v>
      </c>
      <c r="G80" t="s">
        <v>47</v>
      </c>
      <c r="H80" t="s">
        <v>26</v>
      </c>
      <c r="I80" t="s">
        <v>37</v>
      </c>
      <c r="J80" s="3">
        <v>1.248</v>
      </c>
      <c r="K80">
        <v>3</v>
      </c>
      <c r="L80">
        <v>0.8</v>
      </c>
      <c r="M80">
        <v>-1.9343999999999999</v>
      </c>
    </row>
    <row r="81" spans="1:13" x14ac:dyDescent="0.3">
      <c r="A81" t="s">
        <v>61</v>
      </c>
      <c r="B81" t="s">
        <v>22</v>
      </c>
      <c r="C81" t="s">
        <v>15</v>
      </c>
      <c r="D81" t="s">
        <v>60</v>
      </c>
      <c r="E81" t="s">
        <v>46</v>
      </c>
      <c r="F81">
        <v>77041</v>
      </c>
      <c r="G81" t="s">
        <v>47</v>
      </c>
      <c r="H81" t="s">
        <v>19</v>
      </c>
      <c r="I81" t="s">
        <v>33</v>
      </c>
      <c r="J81" s="3">
        <v>9.7080000000000002</v>
      </c>
      <c r="K81">
        <v>3</v>
      </c>
      <c r="L81">
        <v>0.6</v>
      </c>
      <c r="M81">
        <v>-5.8247999999999998</v>
      </c>
    </row>
    <row r="82" spans="1:13" x14ac:dyDescent="0.3">
      <c r="A82" t="s">
        <v>61</v>
      </c>
      <c r="B82" t="s">
        <v>22</v>
      </c>
      <c r="C82" t="s">
        <v>15</v>
      </c>
      <c r="D82" t="s">
        <v>60</v>
      </c>
      <c r="E82" t="s">
        <v>46</v>
      </c>
      <c r="F82">
        <v>77041</v>
      </c>
      <c r="G82" t="s">
        <v>47</v>
      </c>
      <c r="H82" t="s">
        <v>26</v>
      </c>
      <c r="I82" t="s">
        <v>32</v>
      </c>
      <c r="J82" s="3">
        <v>27.24</v>
      </c>
      <c r="K82">
        <v>3</v>
      </c>
      <c r="L82">
        <v>0.2</v>
      </c>
      <c r="M82">
        <v>2.7240000000000002</v>
      </c>
    </row>
    <row r="83" spans="1:13" x14ac:dyDescent="0.3">
      <c r="A83" t="s">
        <v>13</v>
      </c>
      <c r="B83" t="s">
        <v>14</v>
      </c>
      <c r="C83" t="s">
        <v>15</v>
      </c>
      <c r="D83" t="s">
        <v>60</v>
      </c>
      <c r="E83" t="s">
        <v>46</v>
      </c>
      <c r="F83">
        <v>77070</v>
      </c>
      <c r="G83" t="s">
        <v>47</v>
      </c>
      <c r="H83" t="s">
        <v>19</v>
      </c>
      <c r="I83" t="s">
        <v>33</v>
      </c>
      <c r="J83" s="3">
        <v>19.3</v>
      </c>
      <c r="K83">
        <v>5</v>
      </c>
      <c r="L83">
        <v>0.6</v>
      </c>
      <c r="M83">
        <v>-14.475</v>
      </c>
    </row>
    <row r="84" spans="1:13" x14ac:dyDescent="0.3">
      <c r="A84" t="s">
        <v>61</v>
      </c>
      <c r="B84" t="s">
        <v>22</v>
      </c>
      <c r="C84" t="s">
        <v>15</v>
      </c>
      <c r="D84" t="s">
        <v>86</v>
      </c>
      <c r="E84" t="s">
        <v>87</v>
      </c>
      <c r="F84">
        <v>35601</v>
      </c>
      <c r="G84" t="s">
        <v>18</v>
      </c>
      <c r="H84" t="s">
        <v>26</v>
      </c>
      <c r="I84" t="s">
        <v>38</v>
      </c>
      <c r="J84" s="3">
        <v>208.16</v>
      </c>
      <c r="K84">
        <v>1</v>
      </c>
      <c r="L84">
        <v>0</v>
      </c>
      <c r="M84">
        <v>56.203200000000002</v>
      </c>
    </row>
    <row r="85" spans="1:13" x14ac:dyDescent="0.3">
      <c r="A85" t="s">
        <v>61</v>
      </c>
      <c r="B85" t="s">
        <v>22</v>
      </c>
      <c r="C85" t="s">
        <v>15</v>
      </c>
      <c r="D85" t="s">
        <v>86</v>
      </c>
      <c r="E85" t="s">
        <v>87</v>
      </c>
      <c r="F85">
        <v>35601</v>
      </c>
      <c r="G85" t="s">
        <v>18</v>
      </c>
      <c r="H85" t="s">
        <v>26</v>
      </c>
      <c r="I85" t="s">
        <v>37</v>
      </c>
      <c r="J85" s="3">
        <v>16.739999999999998</v>
      </c>
      <c r="K85">
        <v>3</v>
      </c>
      <c r="L85">
        <v>0</v>
      </c>
      <c r="M85">
        <v>8.0351999999999997</v>
      </c>
    </row>
    <row r="86" spans="1:13" x14ac:dyDescent="0.3">
      <c r="A86" t="s">
        <v>28</v>
      </c>
      <c r="B86" t="s">
        <v>14</v>
      </c>
      <c r="C86" t="s">
        <v>15</v>
      </c>
      <c r="D86" t="s">
        <v>51</v>
      </c>
      <c r="E86" t="s">
        <v>24</v>
      </c>
      <c r="F86">
        <v>94122</v>
      </c>
      <c r="G86" t="s">
        <v>25</v>
      </c>
      <c r="H86" t="s">
        <v>26</v>
      </c>
      <c r="I86" t="s">
        <v>34</v>
      </c>
      <c r="J86" s="3">
        <v>14.9</v>
      </c>
      <c r="K86">
        <v>5</v>
      </c>
      <c r="L86">
        <v>0</v>
      </c>
      <c r="M86">
        <v>4.1719999999999997</v>
      </c>
    </row>
    <row r="87" spans="1:13" x14ac:dyDescent="0.3">
      <c r="A87" t="s">
        <v>28</v>
      </c>
      <c r="B87" t="s">
        <v>14</v>
      </c>
      <c r="C87" t="s">
        <v>15</v>
      </c>
      <c r="D87" t="s">
        <v>51</v>
      </c>
      <c r="E87" t="s">
        <v>24</v>
      </c>
      <c r="F87">
        <v>94122</v>
      </c>
      <c r="G87" t="s">
        <v>25</v>
      </c>
      <c r="H87" t="s">
        <v>26</v>
      </c>
      <c r="I87" t="s">
        <v>32</v>
      </c>
      <c r="J87" s="3">
        <v>21.39</v>
      </c>
      <c r="K87">
        <v>1</v>
      </c>
      <c r="L87">
        <v>0</v>
      </c>
      <c r="M87">
        <v>6.2031000000000001</v>
      </c>
    </row>
    <row r="88" spans="1:13" x14ac:dyDescent="0.3">
      <c r="A88" t="s">
        <v>28</v>
      </c>
      <c r="B88" t="s">
        <v>22</v>
      </c>
      <c r="C88" t="s">
        <v>15</v>
      </c>
      <c r="D88" t="s">
        <v>88</v>
      </c>
      <c r="E88" t="s">
        <v>40</v>
      </c>
      <c r="F88">
        <v>27707</v>
      </c>
      <c r="G88" t="s">
        <v>18</v>
      </c>
      <c r="H88" t="s">
        <v>26</v>
      </c>
      <c r="I88" t="s">
        <v>59</v>
      </c>
      <c r="J88" s="3">
        <v>200.98400000000001</v>
      </c>
      <c r="K88">
        <v>7</v>
      </c>
      <c r="L88">
        <v>0.2</v>
      </c>
      <c r="M88">
        <v>62.807499999999997</v>
      </c>
    </row>
    <row r="89" spans="1:13" x14ac:dyDescent="0.3">
      <c r="A89" t="s">
        <v>61</v>
      </c>
      <c r="B89" t="s">
        <v>44</v>
      </c>
      <c r="C89" t="s">
        <v>15</v>
      </c>
      <c r="D89" t="s">
        <v>78</v>
      </c>
      <c r="E89" t="s">
        <v>64</v>
      </c>
      <c r="F89">
        <v>60623</v>
      </c>
      <c r="G89" t="s">
        <v>47</v>
      </c>
      <c r="H89" t="s">
        <v>26</v>
      </c>
      <c r="I89" t="s">
        <v>32</v>
      </c>
      <c r="J89" s="3">
        <v>230.376</v>
      </c>
      <c r="K89">
        <v>3</v>
      </c>
      <c r="L89">
        <v>0.2</v>
      </c>
      <c r="M89">
        <v>-48.954900000000002</v>
      </c>
    </row>
    <row r="90" spans="1:13" x14ac:dyDescent="0.3">
      <c r="A90" t="s">
        <v>13</v>
      </c>
      <c r="B90" t="s">
        <v>14</v>
      </c>
      <c r="C90" t="s">
        <v>15</v>
      </c>
      <c r="D90" t="s">
        <v>89</v>
      </c>
      <c r="E90" t="s">
        <v>90</v>
      </c>
      <c r="F90">
        <v>29203</v>
      </c>
      <c r="G90" t="s">
        <v>18</v>
      </c>
      <c r="H90" t="s">
        <v>19</v>
      </c>
      <c r="I90" t="s">
        <v>21</v>
      </c>
      <c r="J90" s="3">
        <v>301.95999999999998</v>
      </c>
      <c r="K90">
        <v>2</v>
      </c>
      <c r="L90">
        <v>0</v>
      </c>
      <c r="M90">
        <v>33.215600000000002</v>
      </c>
    </row>
    <row r="91" spans="1:13" x14ac:dyDescent="0.3">
      <c r="A91" t="s">
        <v>28</v>
      </c>
      <c r="B91" t="s">
        <v>14</v>
      </c>
      <c r="C91" t="s">
        <v>15</v>
      </c>
      <c r="D91" t="s">
        <v>91</v>
      </c>
      <c r="E91" t="s">
        <v>67</v>
      </c>
      <c r="F91">
        <v>55901</v>
      </c>
      <c r="G91" t="s">
        <v>47</v>
      </c>
      <c r="H91" t="s">
        <v>35</v>
      </c>
      <c r="I91" t="s">
        <v>58</v>
      </c>
      <c r="J91" s="3">
        <v>19.989999999999998</v>
      </c>
      <c r="K91">
        <v>1</v>
      </c>
      <c r="L91">
        <v>0</v>
      </c>
      <c r="M91">
        <v>6.7965999999999998</v>
      </c>
    </row>
    <row r="92" spans="1:13" x14ac:dyDescent="0.3">
      <c r="A92" t="s">
        <v>28</v>
      </c>
      <c r="B92" t="s">
        <v>14</v>
      </c>
      <c r="C92" t="s">
        <v>15</v>
      </c>
      <c r="D92" t="s">
        <v>91</v>
      </c>
      <c r="E92" t="s">
        <v>67</v>
      </c>
      <c r="F92">
        <v>55901</v>
      </c>
      <c r="G92" t="s">
        <v>47</v>
      </c>
      <c r="H92" t="s">
        <v>26</v>
      </c>
      <c r="I92" t="s">
        <v>27</v>
      </c>
      <c r="J92" s="3">
        <v>6.16</v>
      </c>
      <c r="K92">
        <v>2</v>
      </c>
      <c r="L92">
        <v>0</v>
      </c>
      <c r="M92">
        <v>2.9567999999999999</v>
      </c>
    </row>
    <row r="93" spans="1:13" x14ac:dyDescent="0.3">
      <c r="A93" t="s">
        <v>13</v>
      </c>
      <c r="B93" t="s">
        <v>44</v>
      </c>
      <c r="C93" t="s">
        <v>15</v>
      </c>
      <c r="D93" t="s">
        <v>60</v>
      </c>
      <c r="E93" t="s">
        <v>46</v>
      </c>
      <c r="F93">
        <v>77095</v>
      </c>
      <c r="G93" t="s">
        <v>47</v>
      </c>
      <c r="H93" t="s">
        <v>26</v>
      </c>
      <c r="I93" t="s">
        <v>32</v>
      </c>
      <c r="J93" s="3">
        <v>158.36799999999999</v>
      </c>
      <c r="K93">
        <v>7</v>
      </c>
      <c r="L93">
        <v>0.2</v>
      </c>
      <c r="M93">
        <v>13.857200000000001</v>
      </c>
    </row>
    <row r="94" spans="1:13" x14ac:dyDescent="0.3">
      <c r="A94" t="s">
        <v>28</v>
      </c>
      <c r="B94" t="s">
        <v>22</v>
      </c>
      <c r="C94" t="s">
        <v>15</v>
      </c>
      <c r="D94" t="s">
        <v>23</v>
      </c>
      <c r="E94" t="s">
        <v>24</v>
      </c>
      <c r="F94">
        <v>90036</v>
      </c>
      <c r="G94" t="s">
        <v>25</v>
      </c>
      <c r="H94" t="s">
        <v>26</v>
      </c>
      <c r="I94" t="s">
        <v>34</v>
      </c>
      <c r="J94" s="3">
        <v>20.100000000000001</v>
      </c>
      <c r="K94">
        <v>3</v>
      </c>
      <c r="L94">
        <v>0</v>
      </c>
      <c r="M94">
        <v>6.633</v>
      </c>
    </row>
    <row r="95" spans="1:13" x14ac:dyDescent="0.3">
      <c r="A95" t="s">
        <v>28</v>
      </c>
      <c r="B95" t="s">
        <v>22</v>
      </c>
      <c r="C95" t="s">
        <v>15</v>
      </c>
      <c r="D95" t="s">
        <v>23</v>
      </c>
      <c r="E95" t="s">
        <v>24</v>
      </c>
      <c r="F95">
        <v>90036</v>
      </c>
      <c r="G95" t="s">
        <v>25</v>
      </c>
      <c r="H95" t="s">
        <v>35</v>
      </c>
      <c r="I95" t="s">
        <v>36</v>
      </c>
      <c r="J95" s="3">
        <v>73.584000000000003</v>
      </c>
      <c r="K95">
        <v>2</v>
      </c>
      <c r="L95">
        <v>0.2</v>
      </c>
      <c r="M95">
        <v>8.2782</v>
      </c>
    </row>
    <row r="96" spans="1:13" x14ac:dyDescent="0.3">
      <c r="A96" t="s">
        <v>28</v>
      </c>
      <c r="B96" t="s">
        <v>22</v>
      </c>
      <c r="C96" t="s">
        <v>15</v>
      </c>
      <c r="D96" t="s">
        <v>23</v>
      </c>
      <c r="E96" t="s">
        <v>24</v>
      </c>
      <c r="F96">
        <v>90036</v>
      </c>
      <c r="G96" t="s">
        <v>25</v>
      </c>
      <c r="H96" t="s">
        <v>26</v>
      </c>
      <c r="I96" t="s">
        <v>41</v>
      </c>
      <c r="J96" s="3">
        <v>6.48</v>
      </c>
      <c r="K96">
        <v>1</v>
      </c>
      <c r="L96">
        <v>0</v>
      </c>
      <c r="M96">
        <v>3.1103999999999998</v>
      </c>
    </row>
    <row r="97" spans="1:13" x14ac:dyDescent="0.3">
      <c r="A97" t="s">
        <v>13</v>
      </c>
      <c r="B97" t="s">
        <v>14</v>
      </c>
      <c r="C97" t="s">
        <v>15</v>
      </c>
      <c r="D97" t="s">
        <v>92</v>
      </c>
      <c r="E97" t="s">
        <v>67</v>
      </c>
      <c r="F97">
        <v>55407</v>
      </c>
      <c r="G97" t="s">
        <v>47</v>
      </c>
      <c r="H97" t="s">
        <v>26</v>
      </c>
      <c r="I97" t="s">
        <v>41</v>
      </c>
      <c r="J97" s="3">
        <v>12.96</v>
      </c>
      <c r="K97">
        <v>2</v>
      </c>
      <c r="L97">
        <v>0</v>
      </c>
      <c r="M97">
        <v>6.2207999999999997</v>
      </c>
    </row>
    <row r="98" spans="1:13" x14ac:dyDescent="0.3">
      <c r="A98" t="s">
        <v>13</v>
      </c>
      <c r="B98" t="s">
        <v>14</v>
      </c>
      <c r="C98" t="s">
        <v>15</v>
      </c>
      <c r="D98" t="s">
        <v>92</v>
      </c>
      <c r="E98" t="s">
        <v>67</v>
      </c>
      <c r="F98">
        <v>55407</v>
      </c>
      <c r="G98" t="s">
        <v>47</v>
      </c>
      <c r="H98" t="s">
        <v>19</v>
      </c>
      <c r="I98" t="s">
        <v>33</v>
      </c>
      <c r="J98" s="3">
        <v>53.34</v>
      </c>
      <c r="K98">
        <v>3</v>
      </c>
      <c r="L98">
        <v>0</v>
      </c>
      <c r="M98">
        <v>16.535399999999999</v>
      </c>
    </row>
    <row r="99" spans="1:13" x14ac:dyDescent="0.3">
      <c r="A99" t="s">
        <v>13</v>
      </c>
      <c r="B99" t="s">
        <v>14</v>
      </c>
      <c r="C99" t="s">
        <v>15</v>
      </c>
      <c r="D99" t="s">
        <v>92</v>
      </c>
      <c r="E99" t="s">
        <v>67</v>
      </c>
      <c r="F99">
        <v>55407</v>
      </c>
      <c r="G99" t="s">
        <v>47</v>
      </c>
      <c r="H99" t="s">
        <v>26</v>
      </c>
      <c r="I99" t="s">
        <v>37</v>
      </c>
      <c r="J99" s="3">
        <v>32.96</v>
      </c>
      <c r="K99">
        <v>2</v>
      </c>
      <c r="L99">
        <v>0</v>
      </c>
      <c r="M99">
        <v>16.150400000000001</v>
      </c>
    </row>
    <row r="100" spans="1:13" x14ac:dyDescent="0.3">
      <c r="A100" t="s">
        <v>28</v>
      </c>
      <c r="B100" t="s">
        <v>44</v>
      </c>
      <c r="C100" t="s">
        <v>15</v>
      </c>
      <c r="D100" t="s">
        <v>93</v>
      </c>
      <c r="E100" t="s">
        <v>94</v>
      </c>
      <c r="F100">
        <v>97206</v>
      </c>
      <c r="G100" t="s">
        <v>25</v>
      </c>
      <c r="H100" t="s">
        <v>26</v>
      </c>
      <c r="I100" t="s">
        <v>37</v>
      </c>
      <c r="J100" s="3">
        <v>5.6820000000000004</v>
      </c>
      <c r="K100">
        <v>1</v>
      </c>
      <c r="L100">
        <v>0.7</v>
      </c>
      <c r="M100">
        <v>-3.7879999999999998</v>
      </c>
    </row>
    <row r="101" spans="1:13" x14ac:dyDescent="0.3">
      <c r="A101" t="s">
        <v>13</v>
      </c>
      <c r="B101" t="s">
        <v>44</v>
      </c>
      <c r="C101" t="s">
        <v>15</v>
      </c>
      <c r="D101" t="s">
        <v>74</v>
      </c>
      <c r="E101" t="s">
        <v>75</v>
      </c>
      <c r="F101">
        <v>10009</v>
      </c>
      <c r="G101" t="s">
        <v>56</v>
      </c>
      <c r="H101" t="s">
        <v>19</v>
      </c>
      <c r="I101" t="s">
        <v>33</v>
      </c>
      <c r="J101" s="3">
        <v>96.53</v>
      </c>
      <c r="K101">
        <v>7</v>
      </c>
      <c r="L101">
        <v>0</v>
      </c>
      <c r="M101">
        <v>40.5426</v>
      </c>
    </row>
    <row r="102" spans="1:13" x14ac:dyDescent="0.3">
      <c r="A102" t="s">
        <v>61</v>
      </c>
      <c r="B102" t="s">
        <v>14</v>
      </c>
      <c r="C102" t="s">
        <v>15</v>
      </c>
      <c r="D102" t="s">
        <v>51</v>
      </c>
      <c r="E102" t="s">
        <v>24</v>
      </c>
      <c r="F102">
        <v>94122</v>
      </c>
      <c r="G102" t="s">
        <v>25</v>
      </c>
      <c r="H102" t="s">
        <v>26</v>
      </c>
      <c r="I102" t="s">
        <v>37</v>
      </c>
      <c r="J102" s="3">
        <v>51.311999999999998</v>
      </c>
      <c r="K102">
        <v>3</v>
      </c>
      <c r="L102">
        <v>0.2</v>
      </c>
      <c r="M102">
        <v>17.959199999999999</v>
      </c>
    </row>
    <row r="103" spans="1:13" x14ac:dyDescent="0.3">
      <c r="A103" t="s">
        <v>28</v>
      </c>
      <c r="B103" t="s">
        <v>22</v>
      </c>
      <c r="C103" t="s">
        <v>15</v>
      </c>
      <c r="D103" t="s">
        <v>95</v>
      </c>
      <c r="E103" t="s">
        <v>67</v>
      </c>
      <c r="F103">
        <v>55106</v>
      </c>
      <c r="G103" t="s">
        <v>47</v>
      </c>
      <c r="H103" t="s">
        <v>26</v>
      </c>
      <c r="I103" t="s">
        <v>38</v>
      </c>
      <c r="J103" s="3">
        <v>77.88</v>
      </c>
      <c r="K103">
        <v>6</v>
      </c>
      <c r="L103">
        <v>0</v>
      </c>
      <c r="M103">
        <v>22.5852</v>
      </c>
    </row>
  </sheetData>
  <mergeCells count="1">
    <mergeCell ref="A1:M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1E16E-37DC-4A62-8634-B2E456849B2E}">
  <dimension ref="A1:I6"/>
  <sheetViews>
    <sheetView workbookViewId="0">
      <selection activeCell="D6" sqref="D6"/>
    </sheetView>
  </sheetViews>
  <sheetFormatPr defaultRowHeight="14.4" x14ac:dyDescent="0.3"/>
  <cols>
    <col min="1" max="1" width="18.109375" bestFit="1" customWidth="1"/>
    <col min="2" max="2" width="11.6640625" bestFit="1" customWidth="1"/>
    <col min="4" max="5" width="12.109375" bestFit="1" customWidth="1"/>
    <col min="6" max="6" width="18.109375" bestFit="1" customWidth="1"/>
    <col min="8" max="8" width="14.88671875" bestFit="1" customWidth="1"/>
  </cols>
  <sheetData>
    <row r="1" spans="1:9" ht="18" customHeight="1" x14ac:dyDescent="0.3">
      <c r="A1" s="15" t="s">
        <v>110</v>
      </c>
      <c r="B1" s="15"/>
      <c r="C1" s="15"/>
      <c r="D1" s="15"/>
      <c r="E1" s="15"/>
      <c r="F1" s="15"/>
      <c r="G1" s="15"/>
      <c r="H1" s="15"/>
      <c r="I1" s="15"/>
    </row>
    <row r="2" spans="1:9" x14ac:dyDescent="0.3">
      <c r="A2" s="15"/>
      <c r="B2" s="15"/>
      <c r="C2" s="15"/>
      <c r="D2" s="15"/>
      <c r="E2" s="15"/>
      <c r="F2" s="15"/>
      <c r="G2" s="15"/>
      <c r="H2" s="15"/>
      <c r="I2" s="15"/>
    </row>
    <row r="5" spans="1:9" x14ac:dyDescent="0.3">
      <c r="B5" t="s">
        <v>98</v>
      </c>
      <c r="D5" t="s">
        <v>99</v>
      </c>
      <c r="F5" t="s">
        <v>102</v>
      </c>
      <c r="H5" t="s">
        <v>113</v>
      </c>
    </row>
    <row r="6" spans="1:9" x14ac:dyDescent="0.3">
      <c r="B6" s="3">
        <v>21439.9077</v>
      </c>
      <c r="D6" s="17">
        <v>-124.50909999999969</v>
      </c>
      <c r="F6" s="5">
        <v>0.15525252525252514</v>
      </c>
      <c r="H6">
        <v>367</v>
      </c>
    </row>
  </sheetData>
  <mergeCells count="1">
    <mergeCell ref="A1: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39600-054E-45C1-B21C-4824D1795E58}">
  <dimension ref="A1:M8"/>
  <sheetViews>
    <sheetView workbookViewId="0">
      <selection activeCell="M15" sqref="M15"/>
    </sheetView>
  </sheetViews>
  <sheetFormatPr defaultRowHeight="14.4" x14ac:dyDescent="0.3"/>
  <cols>
    <col min="1" max="2" width="12.5546875" bestFit="1" customWidth="1"/>
    <col min="3" max="3" width="11.6640625" bestFit="1" customWidth="1"/>
    <col min="4" max="4" width="12.5546875" bestFit="1" customWidth="1"/>
    <col min="5" max="5" width="11.6640625" bestFit="1" customWidth="1"/>
  </cols>
  <sheetData>
    <row r="1" spans="1:13" x14ac:dyDescent="0.3">
      <c r="A1" s="16" t="s">
        <v>109</v>
      </c>
      <c r="B1" s="15"/>
      <c r="C1" s="15"/>
      <c r="D1" s="15"/>
      <c r="E1" s="15"/>
      <c r="F1" s="15"/>
      <c r="G1" s="15"/>
      <c r="H1" s="15"/>
      <c r="I1" s="15"/>
      <c r="J1" s="15"/>
      <c r="K1" s="15"/>
      <c r="L1" s="15"/>
      <c r="M1" s="15"/>
    </row>
    <row r="2" spans="1:13" x14ac:dyDescent="0.3">
      <c r="A2" s="15"/>
      <c r="B2" s="15"/>
      <c r="C2" s="15"/>
      <c r="D2" s="15"/>
      <c r="E2" s="15"/>
      <c r="F2" s="15"/>
      <c r="G2" s="15"/>
      <c r="H2" s="15"/>
      <c r="I2" s="15"/>
      <c r="J2" s="15"/>
      <c r="K2" s="15"/>
      <c r="L2" s="15"/>
      <c r="M2" s="15"/>
    </row>
    <row r="4" spans="1:13" x14ac:dyDescent="0.3">
      <c r="B4" s="1" t="s">
        <v>96</v>
      </c>
      <c r="C4" t="s">
        <v>98</v>
      </c>
    </row>
    <row r="5" spans="1:13" x14ac:dyDescent="0.3">
      <c r="B5" s="2" t="s">
        <v>14</v>
      </c>
      <c r="C5" s="17">
        <v>14670.74349999999</v>
      </c>
    </row>
    <row r="6" spans="1:13" ht="18" x14ac:dyDescent="0.3">
      <c r="B6" s="2" t="s">
        <v>22</v>
      </c>
      <c r="C6" s="17">
        <v>4735.3139999999994</v>
      </c>
      <c r="F6" s="10"/>
    </row>
    <row r="7" spans="1:13" x14ac:dyDescent="0.3">
      <c r="B7" s="2" t="s">
        <v>44</v>
      </c>
      <c r="C7" s="17">
        <v>2033.8501999999999</v>
      </c>
    </row>
    <row r="8" spans="1:13" x14ac:dyDescent="0.3">
      <c r="B8" s="2" t="s">
        <v>97</v>
      </c>
      <c r="C8" s="17">
        <v>21439.907699999989</v>
      </c>
    </row>
  </sheetData>
  <mergeCells count="1">
    <mergeCell ref="A1:M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AA2EE-3346-4D16-8992-0463E93C5781}">
  <dimension ref="A1:L27"/>
  <sheetViews>
    <sheetView zoomScale="101" workbookViewId="0">
      <selection activeCell="J5" sqref="J5"/>
    </sheetView>
  </sheetViews>
  <sheetFormatPr defaultRowHeight="14.4" x14ac:dyDescent="0.3"/>
  <cols>
    <col min="1" max="2" width="13.33203125" bestFit="1" customWidth="1"/>
    <col min="3" max="4" width="11.88671875" bestFit="1" customWidth="1"/>
  </cols>
  <sheetData>
    <row r="1" spans="1:12" x14ac:dyDescent="0.3">
      <c r="A1" s="16" t="s">
        <v>104</v>
      </c>
      <c r="B1" s="16"/>
      <c r="C1" s="16"/>
      <c r="D1" s="16"/>
      <c r="E1" s="16"/>
      <c r="F1" s="16"/>
      <c r="G1" s="16"/>
      <c r="H1" s="16"/>
      <c r="I1" s="16"/>
      <c r="J1" s="16"/>
      <c r="K1" s="16"/>
      <c r="L1" s="16"/>
    </row>
    <row r="2" spans="1:12" x14ac:dyDescent="0.3">
      <c r="A2" s="16"/>
      <c r="B2" s="16"/>
      <c r="C2" s="16"/>
      <c r="D2" s="16"/>
      <c r="E2" s="16"/>
      <c r="F2" s="16"/>
      <c r="G2" s="16"/>
      <c r="H2" s="16"/>
      <c r="I2" s="16"/>
      <c r="J2" s="16"/>
      <c r="K2" s="16"/>
      <c r="L2" s="16"/>
    </row>
    <row r="5" spans="1:12" x14ac:dyDescent="0.3">
      <c r="B5" s="1" t="s">
        <v>96</v>
      </c>
      <c r="C5" t="s">
        <v>98</v>
      </c>
    </row>
    <row r="6" spans="1:12" x14ac:dyDescent="0.3">
      <c r="B6" s="2" t="s">
        <v>87</v>
      </c>
      <c r="C6" s="17">
        <v>224.9</v>
      </c>
    </row>
    <row r="7" spans="1:12" x14ac:dyDescent="0.3">
      <c r="B7" s="2" t="s">
        <v>80</v>
      </c>
      <c r="C7" s="17">
        <v>1280.992</v>
      </c>
    </row>
    <row r="8" spans="1:12" x14ac:dyDescent="0.3">
      <c r="B8" s="2" t="s">
        <v>24</v>
      </c>
      <c r="C8" s="17">
        <v>4607.8419999999987</v>
      </c>
    </row>
    <row r="9" spans="1:12" x14ac:dyDescent="0.3">
      <c r="B9" s="2" t="s">
        <v>71</v>
      </c>
      <c r="C9" s="17">
        <v>66.8</v>
      </c>
    </row>
    <row r="10" spans="1:12" x14ac:dyDescent="0.3">
      <c r="B10" s="2" t="s">
        <v>30</v>
      </c>
      <c r="C10" s="17">
        <v>1075.5615</v>
      </c>
    </row>
    <row r="11" spans="1:12" x14ac:dyDescent="0.3">
      <c r="B11" s="2" t="s">
        <v>64</v>
      </c>
      <c r="C11" s="17">
        <v>590.65899999999999</v>
      </c>
    </row>
    <row r="12" spans="1:12" x14ac:dyDescent="0.3">
      <c r="B12" s="2" t="s">
        <v>73</v>
      </c>
      <c r="C12" s="17">
        <v>209.55</v>
      </c>
    </row>
    <row r="13" spans="1:12" x14ac:dyDescent="0.3">
      <c r="B13" s="2" t="s">
        <v>17</v>
      </c>
      <c r="C13" s="17">
        <v>993.90000000000009</v>
      </c>
    </row>
    <row r="14" spans="1:12" x14ac:dyDescent="0.3">
      <c r="B14" s="2" t="s">
        <v>69</v>
      </c>
      <c r="C14" s="17">
        <v>231.01000000000002</v>
      </c>
    </row>
    <row r="15" spans="1:12" x14ac:dyDescent="0.3">
      <c r="B15" s="2" t="s">
        <v>67</v>
      </c>
      <c r="C15" s="17">
        <v>266.73</v>
      </c>
    </row>
    <row r="16" spans="1:12" x14ac:dyDescent="0.3">
      <c r="B16" s="2" t="s">
        <v>53</v>
      </c>
      <c r="C16" s="17">
        <v>79.800000000000011</v>
      </c>
    </row>
    <row r="17" spans="2:3" x14ac:dyDescent="0.3">
      <c r="B17" s="2" t="s">
        <v>75</v>
      </c>
      <c r="C17" s="17">
        <v>1801.4460000000001</v>
      </c>
    </row>
    <row r="18" spans="2:3" x14ac:dyDescent="0.3">
      <c r="B18" s="2" t="s">
        <v>40</v>
      </c>
      <c r="C18" s="17">
        <v>216.536</v>
      </c>
    </row>
    <row r="19" spans="2:3" x14ac:dyDescent="0.3">
      <c r="B19" s="2" t="s">
        <v>94</v>
      </c>
      <c r="C19" s="17">
        <v>5.6820000000000004</v>
      </c>
    </row>
    <row r="20" spans="2:3" x14ac:dyDescent="0.3">
      <c r="B20" s="2" t="s">
        <v>55</v>
      </c>
      <c r="C20" s="17">
        <v>3400.806</v>
      </c>
    </row>
    <row r="21" spans="2:3" x14ac:dyDescent="0.3">
      <c r="B21" s="2" t="s">
        <v>90</v>
      </c>
      <c r="C21" s="17">
        <v>301.95999999999998</v>
      </c>
    </row>
    <row r="22" spans="2:3" x14ac:dyDescent="0.3">
      <c r="B22" s="2" t="s">
        <v>85</v>
      </c>
      <c r="C22" s="17">
        <v>1001.76</v>
      </c>
    </row>
    <row r="23" spans="2:3" x14ac:dyDescent="0.3">
      <c r="B23" s="2" t="s">
        <v>46</v>
      </c>
      <c r="C23" s="17">
        <v>2834.1072000000004</v>
      </c>
    </row>
    <row r="24" spans="2:3" x14ac:dyDescent="0.3">
      <c r="B24" s="2" t="s">
        <v>50</v>
      </c>
      <c r="C24" s="17">
        <v>1100.1300000000001</v>
      </c>
    </row>
    <row r="25" spans="2:3" x14ac:dyDescent="0.3">
      <c r="B25" s="2" t="s">
        <v>82</v>
      </c>
      <c r="C25" s="17">
        <v>75.88</v>
      </c>
    </row>
    <row r="26" spans="2:3" x14ac:dyDescent="0.3">
      <c r="B26" s="2" t="s">
        <v>43</v>
      </c>
      <c r="C26" s="17">
        <v>407.976</v>
      </c>
    </row>
    <row r="27" spans="2:3" x14ac:dyDescent="0.3">
      <c r="B27" s="2" t="s">
        <v>49</v>
      </c>
      <c r="C27" s="17">
        <v>665.88</v>
      </c>
    </row>
  </sheetData>
  <mergeCells count="1">
    <mergeCell ref="A1:L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64F2-DDF0-45BE-9A49-3A09113EF4B4}">
  <dimension ref="A1:M9"/>
  <sheetViews>
    <sheetView workbookViewId="0">
      <selection activeCell="B5" sqref="B5"/>
    </sheetView>
  </sheetViews>
  <sheetFormatPr defaultRowHeight="14.4" x14ac:dyDescent="0.3"/>
  <cols>
    <col min="1" max="3" width="13.109375" bestFit="1" customWidth="1"/>
  </cols>
  <sheetData>
    <row r="1" spans="1:13" x14ac:dyDescent="0.3">
      <c r="A1" s="16" t="s">
        <v>105</v>
      </c>
      <c r="B1" s="16"/>
      <c r="C1" s="16"/>
      <c r="D1" s="16"/>
      <c r="E1" s="16"/>
      <c r="F1" s="16"/>
      <c r="G1" s="16"/>
      <c r="H1" s="16"/>
      <c r="I1" s="16"/>
      <c r="J1" s="16"/>
      <c r="K1" s="16"/>
      <c r="L1" s="16"/>
      <c r="M1" s="16"/>
    </row>
    <row r="2" spans="1:13" x14ac:dyDescent="0.3">
      <c r="A2" s="16"/>
      <c r="B2" s="16"/>
      <c r="C2" s="16"/>
      <c r="D2" s="16"/>
      <c r="E2" s="16"/>
      <c r="F2" s="16"/>
      <c r="G2" s="16"/>
      <c r="H2" s="16"/>
      <c r="I2" s="16"/>
      <c r="J2" s="16"/>
      <c r="K2" s="16"/>
      <c r="L2" s="16"/>
      <c r="M2" s="16"/>
    </row>
    <row r="5" spans="1:13" x14ac:dyDescent="0.3">
      <c r="B5" s="1" t="s">
        <v>96</v>
      </c>
      <c r="C5" s="8" t="s">
        <v>98</v>
      </c>
    </row>
    <row r="6" spans="1:13" x14ac:dyDescent="0.3">
      <c r="B6" s="2" t="s">
        <v>19</v>
      </c>
      <c r="C6" s="8">
        <v>11083.779699999999</v>
      </c>
    </row>
    <row r="7" spans="1:13" x14ac:dyDescent="0.3">
      <c r="B7" s="2" t="s">
        <v>26</v>
      </c>
      <c r="C7" s="8">
        <v>5169.37</v>
      </c>
    </row>
    <row r="8" spans="1:13" x14ac:dyDescent="0.3">
      <c r="B8" s="2" t="s">
        <v>35</v>
      </c>
      <c r="C8" s="8">
        <v>5186.7579999999998</v>
      </c>
    </row>
    <row r="9" spans="1:13" x14ac:dyDescent="0.3">
      <c r="B9" s="2" t="s">
        <v>97</v>
      </c>
      <c r="C9" s="8">
        <v>21439.907699999996</v>
      </c>
    </row>
  </sheetData>
  <mergeCells count="1">
    <mergeCell ref="A1:M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6D96E-50EB-4515-ACD1-61E7C7523913}">
  <dimension ref="A1:L10"/>
  <sheetViews>
    <sheetView workbookViewId="0">
      <selection activeCell="D17" sqref="D17"/>
    </sheetView>
  </sheetViews>
  <sheetFormatPr defaultRowHeight="14.4" x14ac:dyDescent="0.3"/>
  <cols>
    <col min="1" max="2" width="12.5546875" bestFit="1" customWidth="1"/>
    <col min="3" max="3" width="11.6640625" bestFit="1" customWidth="1"/>
    <col min="4" max="4" width="10.77734375" bestFit="1" customWidth="1"/>
    <col min="5" max="5" width="11" bestFit="1" customWidth="1"/>
  </cols>
  <sheetData>
    <row r="1" spans="1:12" x14ac:dyDescent="0.3">
      <c r="A1" s="16" t="s">
        <v>106</v>
      </c>
      <c r="B1" s="16"/>
      <c r="C1" s="16"/>
      <c r="D1" s="16"/>
      <c r="E1" s="16"/>
      <c r="F1" s="16"/>
      <c r="G1" s="16"/>
      <c r="H1" s="16"/>
      <c r="I1" s="16"/>
      <c r="J1" s="16"/>
      <c r="K1" s="16"/>
      <c r="L1" s="16"/>
    </row>
    <row r="2" spans="1:12" x14ac:dyDescent="0.3">
      <c r="A2" s="16"/>
      <c r="B2" s="16"/>
      <c r="C2" s="16"/>
      <c r="D2" s="16"/>
      <c r="E2" s="16"/>
      <c r="F2" s="16"/>
      <c r="G2" s="16"/>
      <c r="H2" s="16"/>
      <c r="I2" s="16"/>
      <c r="J2" s="16"/>
      <c r="K2" s="16"/>
      <c r="L2" s="16"/>
    </row>
    <row r="5" spans="1:12" x14ac:dyDescent="0.3">
      <c r="B5" s="1" t="s">
        <v>96</v>
      </c>
      <c r="C5" t="s">
        <v>98</v>
      </c>
    </row>
    <row r="6" spans="1:12" x14ac:dyDescent="0.3">
      <c r="B6" s="2" t="s">
        <v>18</v>
      </c>
      <c r="C6" s="3">
        <v>3890.4974999999999</v>
      </c>
    </row>
    <row r="7" spans="1:12" x14ac:dyDescent="0.3">
      <c r="B7" s="2" t="s">
        <v>25</v>
      </c>
      <c r="C7" s="3">
        <v>7402.6219999999976</v>
      </c>
    </row>
    <row r="8" spans="1:12" x14ac:dyDescent="0.3">
      <c r="B8" s="2" t="s">
        <v>56</v>
      </c>
      <c r="C8" s="3">
        <v>5269.0520000000006</v>
      </c>
    </row>
    <row r="9" spans="1:12" x14ac:dyDescent="0.3">
      <c r="B9" s="2" t="s">
        <v>47</v>
      </c>
      <c r="C9" s="3">
        <v>4877.7361999999994</v>
      </c>
    </row>
    <row r="10" spans="1:12" x14ac:dyDescent="0.3">
      <c r="B10" s="2" t="s">
        <v>97</v>
      </c>
      <c r="C10" s="3">
        <v>21439.907699999996</v>
      </c>
    </row>
  </sheetData>
  <mergeCells count="1">
    <mergeCell ref="A1:L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61BC-0645-4ADC-9B5A-D52AA6092F6D}">
  <dimension ref="A1:N9"/>
  <sheetViews>
    <sheetView workbookViewId="0">
      <selection activeCell="G20" sqref="G20"/>
    </sheetView>
  </sheetViews>
  <sheetFormatPr defaultRowHeight="14.4" x14ac:dyDescent="0.3"/>
  <cols>
    <col min="1" max="2" width="13.109375" bestFit="1" customWidth="1"/>
    <col min="3" max="3" width="16.21875" bestFit="1" customWidth="1"/>
  </cols>
  <sheetData>
    <row r="1" spans="1:14" x14ac:dyDescent="0.3">
      <c r="A1" s="16" t="s">
        <v>107</v>
      </c>
      <c r="B1" s="16"/>
      <c r="C1" s="16"/>
      <c r="D1" s="16"/>
      <c r="E1" s="16"/>
      <c r="F1" s="16"/>
      <c r="G1" s="16"/>
      <c r="H1" s="16"/>
      <c r="I1" s="16"/>
      <c r="J1" s="16"/>
      <c r="K1" s="16"/>
      <c r="L1" s="16"/>
    </row>
    <row r="2" spans="1:14" x14ac:dyDescent="0.3">
      <c r="A2" s="16"/>
      <c r="B2" s="16"/>
      <c r="C2" s="16"/>
      <c r="D2" s="16"/>
      <c r="E2" s="16"/>
      <c r="F2" s="16"/>
      <c r="G2" s="16"/>
      <c r="H2" s="16"/>
      <c r="I2" s="16"/>
      <c r="J2" s="16"/>
      <c r="K2" s="16"/>
      <c r="L2" s="16"/>
    </row>
    <row r="5" spans="1:14" x14ac:dyDescent="0.3">
      <c r="B5" s="1" t="s">
        <v>96</v>
      </c>
      <c r="C5" t="s">
        <v>100</v>
      </c>
    </row>
    <row r="6" spans="1:14" x14ac:dyDescent="0.3">
      <c r="B6" s="2" t="s">
        <v>19</v>
      </c>
      <c r="C6" s="17">
        <v>24</v>
      </c>
    </row>
    <row r="7" spans="1:14" x14ac:dyDescent="0.3">
      <c r="B7" s="2" t="s">
        <v>26</v>
      </c>
      <c r="C7" s="17">
        <v>59</v>
      </c>
    </row>
    <row r="8" spans="1:14" x14ac:dyDescent="0.3">
      <c r="B8" s="2" t="s">
        <v>35</v>
      </c>
      <c r="C8" s="17">
        <v>16</v>
      </c>
    </row>
    <row r="9" spans="1:14" ht="18" x14ac:dyDescent="0.35">
      <c r="B9" s="2" t="s">
        <v>97</v>
      </c>
      <c r="C9" s="17">
        <v>99</v>
      </c>
      <c r="N9" s="4"/>
    </row>
  </sheetData>
  <mergeCells count="1">
    <mergeCell ref="A1:L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AFC2-7062-411C-A32C-206778DCC000}">
  <dimension ref="A1:M12"/>
  <sheetViews>
    <sheetView workbookViewId="0">
      <selection activeCell="G35" sqref="G35"/>
    </sheetView>
  </sheetViews>
  <sheetFormatPr defaultRowHeight="14.4" x14ac:dyDescent="0.3"/>
  <cols>
    <col min="1" max="2" width="12.5546875" bestFit="1" customWidth="1"/>
    <col min="3" max="3" width="11.6640625" bestFit="1" customWidth="1"/>
  </cols>
  <sheetData>
    <row r="1" spans="1:13" x14ac:dyDescent="0.3">
      <c r="A1" s="16" t="s">
        <v>111</v>
      </c>
      <c r="B1" s="16"/>
      <c r="C1" s="16"/>
      <c r="D1" s="16"/>
      <c r="E1" s="16"/>
      <c r="F1" s="16"/>
      <c r="G1" s="16"/>
      <c r="H1" s="16"/>
      <c r="I1" s="16"/>
      <c r="J1" s="16"/>
      <c r="K1" s="16"/>
      <c r="L1" s="16"/>
      <c r="M1" s="16"/>
    </row>
    <row r="2" spans="1:13" x14ac:dyDescent="0.3">
      <c r="A2" s="16"/>
      <c r="B2" s="16"/>
      <c r="C2" s="16"/>
      <c r="D2" s="16"/>
      <c r="E2" s="16"/>
      <c r="F2" s="16"/>
      <c r="G2" s="16"/>
      <c r="H2" s="16"/>
      <c r="I2" s="16"/>
      <c r="J2" s="16"/>
      <c r="K2" s="16"/>
      <c r="L2" s="16"/>
      <c r="M2" s="16"/>
    </row>
    <row r="6" spans="1:13" x14ac:dyDescent="0.3">
      <c r="B6" s="1" t="s">
        <v>96</v>
      </c>
      <c r="C6" t="s">
        <v>98</v>
      </c>
    </row>
    <row r="7" spans="1:13" x14ac:dyDescent="0.3">
      <c r="B7" s="2" t="s">
        <v>36</v>
      </c>
      <c r="C7" s="3">
        <v>4941.2380000000003</v>
      </c>
    </row>
    <row r="8" spans="1:13" x14ac:dyDescent="0.3">
      <c r="B8" s="2" t="s">
        <v>20</v>
      </c>
      <c r="C8" s="3">
        <v>3877.7891999999997</v>
      </c>
    </row>
    <row r="9" spans="1:13" x14ac:dyDescent="0.3">
      <c r="B9" s="2" t="s">
        <v>31</v>
      </c>
      <c r="C9" s="3">
        <v>3708.3915000000002</v>
      </c>
    </row>
    <row r="10" spans="1:13" x14ac:dyDescent="0.3">
      <c r="B10" s="2" t="s">
        <v>21</v>
      </c>
      <c r="C10" s="3">
        <v>2771.7809999999999</v>
      </c>
    </row>
    <row r="11" spans="1:13" x14ac:dyDescent="0.3">
      <c r="B11" s="2" t="s">
        <v>32</v>
      </c>
      <c r="C11" s="3">
        <v>1847.922</v>
      </c>
    </row>
    <row r="12" spans="1:13" x14ac:dyDescent="0.3">
      <c r="B12" s="2" t="s">
        <v>97</v>
      </c>
      <c r="C12" s="3">
        <v>17147.1217</v>
      </c>
    </row>
  </sheetData>
  <mergeCells count="1">
    <mergeCell ref="A1:M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3C25F-00C0-438E-976C-9CB595734FFC}">
  <dimension ref="A1:N11"/>
  <sheetViews>
    <sheetView workbookViewId="0">
      <selection activeCell="P30" sqref="P30"/>
    </sheetView>
  </sheetViews>
  <sheetFormatPr defaultRowHeight="14.4" x14ac:dyDescent="0.3"/>
  <cols>
    <col min="1" max="1" width="12.5546875" bestFit="1" customWidth="1"/>
    <col min="2" max="2" width="11.6640625" bestFit="1" customWidth="1"/>
    <col min="3" max="3" width="12.5546875" bestFit="1" customWidth="1"/>
    <col min="4" max="4" width="11.6640625" bestFit="1" customWidth="1"/>
  </cols>
  <sheetData>
    <row r="1" spans="1:14" x14ac:dyDescent="0.3">
      <c r="A1" s="15" t="s">
        <v>112</v>
      </c>
      <c r="B1" s="15"/>
      <c r="C1" s="15"/>
      <c r="D1" s="15"/>
      <c r="E1" s="15"/>
      <c r="F1" s="15"/>
      <c r="G1" s="15"/>
      <c r="H1" s="15"/>
      <c r="I1" s="15"/>
      <c r="J1" s="15"/>
      <c r="K1" s="15"/>
      <c r="L1" s="15"/>
      <c r="M1" s="15"/>
      <c r="N1" s="15"/>
    </row>
    <row r="2" spans="1:14" x14ac:dyDescent="0.3">
      <c r="A2" s="15"/>
      <c r="B2" s="15"/>
      <c r="C2" s="15"/>
      <c r="D2" s="15"/>
      <c r="E2" s="15"/>
      <c r="F2" s="15"/>
      <c r="G2" s="15"/>
      <c r="H2" s="15"/>
      <c r="I2" s="15"/>
      <c r="J2" s="15"/>
      <c r="K2" s="15"/>
      <c r="L2" s="15"/>
      <c r="M2" s="15"/>
      <c r="N2" s="15"/>
    </row>
    <row r="5" spans="1:14" x14ac:dyDescent="0.3">
      <c r="C5" s="1" t="s">
        <v>96</v>
      </c>
      <c r="D5" t="s">
        <v>98</v>
      </c>
    </row>
    <row r="6" spans="1:14" x14ac:dyDescent="0.3">
      <c r="C6" s="2" t="s">
        <v>23</v>
      </c>
      <c r="D6" s="3">
        <v>4275.4800000000005</v>
      </c>
    </row>
    <row r="7" spans="1:14" x14ac:dyDescent="0.3">
      <c r="C7" s="2" t="s">
        <v>54</v>
      </c>
      <c r="D7" s="3">
        <v>3400.806</v>
      </c>
    </row>
    <row r="8" spans="1:14" x14ac:dyDescent="0.3">
      <c r="C8" s="2" t="s">
        <v>60</v>
      </c>
      <c r="D8" s="3">
        <v>1474.2892000000002</v>
      </c>
    </row>
    <row r="9" spans="1:14" x14ac:dyDescent="0.3">
      <c r="C9" s="2" t="s">
        <v>62</v>
      </c>
      <c r="D9" s="3">
        <v>1288.4640000000002</v>
      </c>
    </row>
    <row r="10" spans="1:14" x14ac:dyDescent="0.3">
      <c r="C10" s="2" t="s">
        <v>79</v>
      </c>
      <c r="D10" s="3">
        <v>1280.992</v>
      </c>
    </row>
    <row r="11" spans="1:14" x14ac:dyDescent="0.3">
      <c r="C11" s="2" t="s">
        <v>97</v>
      </c>
      <c r="D11" s="3">
        <v>11720.031200000001</v>
      </c>
    </row>
  </sheetData>
  <mergeCells count="1">
    <mergeCell ref="A1:N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F58B-6391-467F-BFC9-5646EDA3E183}">
  <dimension ref="A1:M9"/>
  <sheetViews>
    <sheetView workbookViewId="0">
      <selection activeCell="M10" sqref="M10"/>
    </sheetView>
  </sheetViews>
  <sheetFormatPr defaultRowHeight="14.4" x14ac:dyDescent="0.3"/>
  <cols>
    <col min="1" max="2" width="12.77734375" bestFit="1" customWidth="1"/>
    <col min="3" max="3" width="12.109375" bestFit="1" customWidth="1"/>
  </cols>
  <sheetData>
    <row r="1" spans="1:13" x14ac:dyDescent="0.3">
      <c r="A1" s="16" t="s">
        <v>108</v>
      </c>
      <c r="B1" s="16"/>
      <c r="C1" s="16"/>
      <c r="D1" s="16"/>
      <c r="E1" s="16"/>
      <c r="F1" s="16"/>
      <c r="G1" s="16"/>
      <c r="H1" s="16"/>
      <c r="I1" s="16"/>
      <c r="J1" s="16"/>
      <c r="K1" s="16"/>
      <c r="L1" s="16"/>
      <c r="M1" s="16"/>
    </row>
    <row r="2" spans="1:13" x14ac:dyDescent="0.3">
      <c r="A2" s="16"/>
      <c r="B2" s="16"/>
      <c r="C2" s="16"/>
      <c r="D2" s="16"/>
      <c r="E2" s="16"/>
      <c r="F2" s="16"/>
      <c r="G2" s="16"/>
      <c r="H2" s="16"/>
      <c r="I2" s="16"/>
      <c r="J2" s="16"/>
      <c r="K2" s="16"/>
      <c r="L2" s="16"/>
      <c r="M2" s="16"/>
    </row>
    <row r="3" spans="1:13" x14ac:dyDescent="0.3">
      <c r="D3" s="9"/>
    </row>
    <row r="5" spans="1:13" x14ac:dyDescent="0.3">
      <c r="B5" s="1" t="s">
        <v>96</v>
      </c>
      <c r="C5" t="s">
        <v>99</v>
      </c>
    </row>
    <row r="6" spans="1:13" x14ac:dyDescent="0.3">
      <c r="B6" s="2" t="s">
        <v>61</v>
      </c>
      <c r="C6" s="17">
        <v>169.64019999999999</v>
      </c>
    </row>
    <row r="7" spans="1:13" x14ac:dyDescent="0.3">
      <c r="B7" s="2" t="s">
        <v>13</v>
      </c>
      <c r="C7" s="17">
        <v>458.44649999999984</v>
      </c>
    </row>
    <row r="8" spans="1:13" x14ac:dyDescent="0.3">
      <c r="B8" s="2" t="s">
        <v>28</v>
      </c>
      <c r="C8" s="17">
        <v>-752.59580000000005</v>
      </c>
    </row>
    <row r="9" spans="1:13" x14ac:dyDescent="0.3">
      <c r="B9" s="2" t="s">
        <v>97</v>
      </c>
      <c r="C9" s="17">
        <v>-124.50910000000022</v>
      </c>
    </row>
  </sheetData>
  <mergeCells count="1">
    <mergeCell ref="A1:M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Dashboard</vt:lpstr>
      <vt:lpstr>Dataset</vt:lpstr>
      <vt:lpstr>statstical analysis</vt:lpstr>
      <vt:lpstr>segment sales</vt:lpstr>
      <vt:lpstr>state sales</vt:lpstr>
      <vt:lpstr>category sales</vt:lpstr>
      <vt:lpstr>region sales</vt:lpstr>
      <vt:lpstr>category quantity</vt:lpstr>
      <vt:lpstr>Top 5 subcategory by sales</vt:lpstr>
      <vt:lpstr>Top 5 city by sales</vt:lpstr>
      <vt:lpstr>profit shipmode</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Vidhi Rajput</cp:lastModifiedBy>
  <dcterms:created xsi:type="dcterms:W3CDTF">2026-07-02T07:01:01Z</dcterms:created>
  <dcterms:modified xsi:type="dcterms:W3CDTF">2026-07-05T17:48:19Z</dcterms:modified>
</cp:coreProperties>
</file>